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<sst xmlns="http://schemas.openxmlformats.org/spreadsheetml/2006/main" count="11" uniqueCount="11">
  <si>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Cell Voltage (V)</t>
  </si>
  <si>
    <t>Photodiode Current (nA)</t>
  </si>
  <si>
    <t>TIA Voltage (mV)</t>
  </si>
  <si>
    <t>Gain</t>
  </si>
  <si>
    <t>AMP 2 Voltage (V)</t>
  </si>
  <si>
    <t>Signal Voltage (V)</t>
  </si>
  <si>
    <t>ADC Count (Relative to Cell Voltage)</t>
  </si>
  <si>
    <t>Calculated UV Index (Cell Voltage)</t>
  </si>
  <si>
    <t>VREFINT</t>
  </si>
  <si>
    <t>ADC Count (Vrefint)</t>
  </si>
  <si>
    <t>UV Index (New Formula)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</si>
</sst>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2" xfId="0" applyAlignment="1" applyFill="1" applyFont="1" applyNumberFormat="1">
      <alignment readingOrder="0" shrinkToFit="0" vertical="center" wrapText="0"/>
    </xf>
    <xf borderId="0" fillId="3" fontId="1" numFmtId="2" xfId="0" applyAlignment="1" applyFill="1" applyFont="1" applyNumberFormat="1">
      <alignment shrinkToFit="0" vertical="center" wrapText="0"/>
    </xf>
    <xf borderId="0" fillId="2" fontId="1" numFmtId="2" xfId="0" applyAlignment="1" applyFill="1" applyFont="1" applyNumberFormat="1">
      <alignment shrinkToFit="0" vertical="center" wrapText="0"/>
    </xf>
    <xf borderId="0" fillId="2" fontId="1" numFmtId="1" xfId="0" applyAlignment="1" applyFill="1" applyFont="1" applyNumberForma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71" displayName="Table1" name="Table1" id="1">
  <tableColumns count="11">
    <tableColumn name="Cell Voltage (V)" id="1"/>
    <tableColumn name="Photodiode Current (nA)" id="2"/>
    <tableColumn name="TIA Voltage (mV)" id="3"/>
    <tableColumn name="Gain" id="4"/>
    <tableColumn name="AMP 2 Voltage (V)" id="5"/>
    <tableColumn name="Signal Voltage (V)" id="6"/>
    <tableColumn name="ADC Count (Relative to Cell Voltage)" id="7"/>
    <tableColumn name="Calculated UV Index (Cell Voltage)" id="8"/>
    <tableColumn name="VREFINT" id="9"/>
    <tableColumn name="ADC Count (Vrefint)" id="10"/>
    <tableColumn name="UV Index (New Formula)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8.88"/>
    <col customWidth="1" min="3" max="3" width="17.25"/>
    <col customWidth="1" min="4" max="4" width="10.25"/>
    <col customWidth="1" min="5" max="8" width="22.63"/>
    <col customWidth="1" min="9" max="9" width="13.25"/>
    <col customWidth="1" min="10" max="10" width="19.0"/>
    <col customWidth="1" min="11" max="11" width="15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>
        <v>3.0</v>
      </c>
      <c r="B2" s="5">
        <v>0.0</v>
      </c>
      <c r="C2" s="5">
        <v>1.06</v>
      </c>
      <c r="D2" s="6">
        <v>3.2</v>
      </c>
      <c r="E2" s="7">
        <f t="shared" ref="E2:E171" si="1">(C2/1000)*D2</f>
        <v>0.003392</v>
      </c>
      <c r="F2" s="7">
        <f t="shared" ref="F2:F171" si="2">if(E2&lt;A2, E2, A2)</f>
        <v>0.003392</v>
      </c>
      <c r="G2" s="8">
        <f t="shared" ref="G2:G171" si="3">(F2/A2)*4096</f>
        <v>4.631210667</v>
      </c>
      <c r="H2" s="8">
        <f t="shared" ref="H2:H171" si="4">G2/21/7.8019047</f>
        <v>0.02826666689</v>
      </c>
      <c r="I2" s="7">
        <v>1.21</v>
      </c>
      <c r="J2" s="9">
        <f t="shared" ref="J2:J171" si="5">(F2/I2)*4096</f>
        <v>11.4823405</v>
      </c>
      <c r="K2" s="10">
        <f t="shared" ref="K2:K171" si="6">(J2*I2)/(4095*D2*21*0.001)</f>
        <v>0.05048851677</v>
      </c>
    </row>
    <row r="3" ht="22.5" customHeight="1">
      <c r="A3" s="5">
        <v>3.0</v>
      </c>
      <c r="B3" s="5">
        <v>21.0</v>
      </c>
      <c r="C3" s="5">
        <v>20.7</v>
      </c>
      <c r="D3" s="6">
        <v>3.2</v>
      </c>
      <c r="E3" s="7">
        <f t="shared" si="1"/>
        <v>0.06624</v>
      </c>
      <c r="F3" s="7">
        <f t="shared" si="2"/>
        <v>0.06624</v>
      </c>
      <c r="G3" s="8">
        <f t="shared" si="3"/>
        <v>90.43968</v>
      </c>
      <c r="H3" s="8">
        <f t="shared" si="4"/>
        <v>0.5520000044</v>
      </c>
      <c r="I3" s="7">
        <v>1.21</v>
      </c>
      <c r="J3" s="9">
        <f t="shared" si="5"/>
        <v>224.2306116</v>
      </c>
      <c r="K3" s="10">
        <f t="shared" si="6"/>
        <v>0.9859549974</v>
      </c>
    </row>
    <row r="4" ht="22.5" customHeight="1">
      <c r="A4" s="5">
        <v>3.0</v>
      </c>
      <c r="B4" s="11">
        <f t="shared" ref="B4:B18" si="7">B3+21</f>
        <v>42</v>
      </c>
      <c r="C4" s="5">
        <v>41.7</v>
      </c>
      <c r="D4" s="6">
        <v>3.2</v>
      </c>
      <c r="E4" s="7">
        <f t="shared" si="1"/>
        <v>0.13344</v>
      </c>
      <c r="F4" s="7">
        <f t="shared" si="2"/>
        <v>0.13344</v>
      </c>
      <c r="G4" s="8">
        <f t="shared" si="3"/>
        <v>182.19008</v>
      </c>
      <c r="H4" s="8">
        <f t="shared" si="4"/>
        <v>1.112000009</v>
      </c>
      <c r="I4" s="7">
        <v>1.21</v>
      </c>
      <c r="J4" s="9">
        <f t="shared" si="5"/>
        <v>451.7109421</v>
      </c>
      <c r="K4" s="10">
        <f t="shared" si="6"/>
        <v>1.986199198</v>
      </c>
    </row>
    <row r="5" ht="22.5" customHeight="1">
      <c r="A5" s="5">
        <v>3.0</v>
      </c>
      <c r="B5" s="11">
        <f t="shared" si="7"/>
        <v>63</v>
      </c>
      <c r="C5" s="5">
        <v>62.8</v>
      </c>
      <c r="D5" s="6">
        <v>3.2</v>
      </c>
      <c r="E5" s="7">
        <f t="shared" si="1"/>
        <v>0.20096</v>
      </c>
      <c r="F5" s="7">
        <f t="shared" si="2"/>
        <v>0.20096</v>
      </c>
      <c r="G5" s="8">
        <f t="shared" si="3"/>
        <v>274.3773867</v>
      </c>
      <c r="H5" s="8">
        <f t="shared" si="4"/>
        <v>1.67466668</v>
      </c>
      <c r="I5" s="7">
        <v>1.21</v>
      </c>
      <c r="J5" s="9">
        <f t="shared" si="5"/>
        <v>680.2745124</v>
      </c>
      <c r="K5" s="10">
        <f t="shared" si="6"/>
        <v>2.991206465</v>
      </c>
    </row>
    <row r="6" ht="22.5" customHeight="1">
      <c r="A6" s="5">
        <v>3.0</v>
      </c>
      <c r="B6" s="11">
        <f t="shared" si="7"/>
        <v>84</v>
      </c>
      <c r="C6" s="5">
        <v>83.9</v>
      </c>
      <c r="D6" s="6">
        <v>3.2</v>
      </c>
      <c r="E6" s="7">
        <f t="shared" si="1"/>
        <v>0.26848</v>
      </c>
      <c r="F6" s="7">
        <f t="shared" si="2"/>
        <v>0.26848</v>
      </c>
      <c r="G6" s="8">
        <f t="shared" si="3"/>
        <v>366.5646933</v>
      </c>
      <c r="H6" s="8">
        <f t="shared" si="4"/>
        <v>2.237333351</v>
      </c>
      <c r="I6" s="7">
        <v>1.21</v>
      </c>
      <c r="J6" s="9">
        <f t="shared" si="5"/>
        <v>908.8380826</v>
      </c>
      <c r="K6" s="10">
        <f t="shared" si="6"/>
        <v>3.996213733</v>
      </c>
    </row>
    <row r="7" ht="22.5" customHeight="1">
      <c r="A7" s="5">
        <v>3.0</v>
      </c>
      <c r="B7" s="11">
        <f t="shared" si="7"/>
        <v>105</v>
      </c>
      <c r="C7" s="5">
        <v>105.0</v>
      </c>
      <c r="D7" s="6">
        <v>3.2</v>
      </c>
      <c r="E7" s="7">
        <f t="shared" si="1"/>
        <v>0.336</v>
      </c>
      <c r="F7" s="8">
        <f t="shared" si="2"/>
        <v>0.336</v>
      </c>
      <c r="G7" s="8">
        <f t="shared" si="3"/>
        <v>458.752</v>
      </c>
      <c r="H7" s="8">
        <f t="shared" si="4"/>
        <v>2.800000022</v>
      </c>
      <c r="I7" s="7">
        <v>1.21</v>
      </c>
      <c r="J7" s="9">
        <f t="shared" si="5"/>
        <v>1137.401653</v>
      </c>
      <c r="K7" s="10">
        <f t="shared" si="6"/>
        <v>5.001221001</v>
      </c>
    </row>
    <row r="8" ht="22.5" customHeight="1">
      <c r="A8" s="5">
        <v>3.0</v>
      </c>
      <c r="B8" s="11">
        <f t="shared" si="7"/>
        <v>126</v>
      </c>
      <c r="C8" s="5">
        <v>126.0</v>
      </c>
      <c r="D8" s="6">
        <v>3.2</v>
      </c>
      <c r="E8" s="7">
        <f t="shared" si="1"/>
        <v>0.4032</v>
      </c>
      <c r="F8" s="8">
        <f t="shared" si="2"/>
        <v>0.4032</v>
      </c>
      <c r="G8" s="8">
        <f t="shared" si="3"/>
        <v>550.5024</v>
      </c>
      <c r="H8" s="8">
        <f t="shared" si="4"/>
        <v>3.360000027</v>
      </c>
      <c r="I8" s="7">
        <v>1.21</v>
      </c>
      <c r="J8" s="9">
        <f t="shared" si="5"/>
        <v>1364.881983</v>
      </c>
      <c r="K8" s="10">
        <f t="shared" si="6"/>
        <v>6.001465201</v>
      </c>
    </row>
    <row r="9" ht="22.5" customHeight="1">
      <c r="A9" s="5">
        <v>3.0</v>
      </c>
      <c r="B9" s="11">
        <f t="shared" si="7"/>
        <v>147</v>
      </c>
      <c r="C9" s="5">
        <v>147.0</v>
      </c>
      <c r="D9" s="6">
        <v>3.2</v>
      </c>
      <c r="E9" s="7">
        <f t="shared" si="1"/>
        <v>0.4704</v>
      </c>
      <c r="F9" s="8">
        <f t="shared" si="2"/>
        <v>0.4704</v>
      </c>
      <c r="G9" s="8">
        <f t="shared" si="3"/>
        <v>642.2528</v>
      </c>
      <c r="H9" s="8">
        <f t="shared" si="4"/>
        <v>3.920000031</v>
      </c>
      <c r="I9" s="7">
        <v>1.21</v>
      </c>
      <c r="J9" s="9">
        <f t="shared" si="5"/>
        <v>1592.362314</v>
      </c>
      <c r="K9" s="10">
        <f t="shared" si="6"/>
        <v>7.001709402</v>
      </c>
    </row>
    <row r="10" ht="22.5" customHeight="1">
      <c r="A10" s="5">
        <v>3.0</v>
      </c>
      <c r="B10" s="11">
        <f t="shared" si="7"/>
        <v>168</v>
      </c>
      <c r="C10" s="5">
        <v>168.0</v>
      </c>
      <c r="D10" s="6">
        <v>3.2</v>
      </c>
      <c r="E10" s="7">
        <f t="shared" si="1"/>
        <v>0.5376</v>
      </c>
      <c r="F10" s="8">
        <f t="shared" si="2"/>
        <v>0.5376</v>
      </c>
      <c r="G10" s="8">
        <f t="shared" si="3"/>
        <v>734.0032</v>
      </c>
      <c r="H10" s="8">
        <f t="shared" si="4"/>
        <v>4.480000036</v>
      </c>
      <c r="I10" s="7">
        <v>1.21</v>
      </c>
      <c r="J10" s="9">
        <f t="shared" si="5"/>
        <v>1819.842645</v>
      </c>
      <c r="K10" s="10">
        <f t="shared" si="6"/>
        <v>8.001953602</v>
      </c>
    </row>
    <row r="11" ht="22.5" customHeight="1">
      <c r="A11" s="5">
        <v>3.0</v>
      </c>
      <c r="B11" s="11">
        <f t="shared" si="7"/>
        <v>189</v>
      </c>
      <c r="C11" s="5">
        <v>189.0</v>
      </c>
      <c r="D11" s="6">
        <v>3.2</v>
      </c>
      <c r="E11" s="7">
        <f t="shared" si="1"/>
        <v>0.6048</v>
      </c>
      <c r="F11" s="8">
        <f t="shared" si="2"/>
        <v>0.6048</v>
      </c>
      <c r="G11" s="8">
        <f t="shared" si="3"/>
        <v>825.7536</v>
      </c>
      <c r="H11" s="8">
        <f t="shared" si="4"/>
        <v>5.04000004</v>
      </c>
      <c r="I11" s="7">
        <v>1.21</v>
      </c>
      <c r="J11" s="9">
        <f t="shared" si="5"/>
        <v>2047.322975</v>
      </c>
      <c r="K11" s="10">
        <f t="shared" si="6"/>
        <v>9.002197802</v>
      </c>
    </row>
    <row r="12" ht="22.5" customHeight="1">
      <c r="A12" s="5">
        <v>3.0</v>
      </c>
      <c r="B12" s="11">
        <f t="shared" si="7"/>
        <v>210</v>
      </c>
      <c r="C12" s="5">
        <v>210.0</v>
      </c>
      <c r="D12" s="6">
        <v>3.2</v>
      </c>
      <c r="E12" s="7">
        <f t="shared" si="1"/>
        <v>0.672</v>
      </c>
      <c r="F12" s="8">
        <f t="shared" si="2"/>
        <v>0.672</v>
      </c>
      <c r="G12" s="8">
        <f t="shared" si="3"/>
        <v>917.504</v>
      </c>
      <c r="H12" s="8">
        <f t="shared" si="4"/>
        <v>5.600000044</v>
      </c>
      <c r="I12" s="7">
        <v>1.21</v>
      </c>
      <c r="J12" s="9">
        <f t="shared" si="5"/>
        <v>2274.803306</v>
      </c>
      <c r="K12" s="10">
        <f t="shared" si="6"/>
        <v>10.002442</v>
      </c>
    </row>
    <row r="13" ht="22.5" customHeight="1">
      <c r="A13" s="5">
        <v>3.0</v>
      </c>
      <c r="B13" s="11">
        <f t="shared" si="7"/>
        <v>231</v>
      </c>
      <c r="C13" s="5">
        <v>231.0</v>
      </c>
      <c r="D13" s="6">
        <v>3.2</v>
      </c>
      <c r="E13" s="7">
        <f t="shared" si="1"/>
        <v>0.7392</v>
      </c>
      <c r="F13" s="8">
        <f t="shared" si="2"/>
        <v>0.7392</v>
      </c>
      <c r="G13" s="8">
        <f t="shared" si="3"/>
        <v>1009.2544</v>
      </c>
      <c r="H13" s="8">
        <f t="shared" si="4"/>
        <v>6.160000049</v>
      </c>
      <c r="I13" s="7">
        <v>1.21</v>
      </c>
      <c r="J13" s="9">
        <f t="shared" si="5"/>
        <v>2502.283636</v>
      </c>
      <c r="K13" s="10">
        <f t="shared" si="6"/>
        <v>11.0026862</v>
      </c>
    </row>
    <row r="14" ht="22.5" customHeight="1">
      <c r="A14" s="5">
        <v>3.0</v>
      </c>
      <c r="B14" s="11">
        <f t="shared" si="7"/>
        <v>252</v>
      </c>
      <c r="C14" s="5">
        <v>252.0</v>
      </c>
      <c r="D14" s="6">
        <v>3.2</v>
      </c>
      <c r="E14" s="7">
        <f t="shared" si="1"/>
        <v>0.8064</v>
      </c>
      <c r="F14" s="8">
        <f t="shared" si="2"/>
        <v>0.8064</v>
      </c>
      <c r="G14" s="8">
        <f t="shared" si="3"/>
        <v>1101.0048</v>
      </c>
      <c r="H14" s="8">
        <f t="shared" si="4"/>
        <v>6.720000053</v>
      </c>
      <c r="I14" s="7">
        <v>1.21</v>
      </c>
      <c r="J14" s="9">
        <f t="shared" si="5"/>
        <v>2729.763967</v>
      </c>
      <c r="K14" s="10">
        <f t="shared" si="6"/>
        <v>12.0029304</v>
      </c>
    </row>
    <row r="15" ht="22.5" customHeight="1">
      <c r="A15" s="5">
        <v>3.0</v>
      </c>
      <c r="B15" s="11">
        <f t="shared" si="7"/>
        <v>273</v>
      </c>
      <c r="C15" s="5">
        <v>273.0</v>
      </c>
      <c r="D15" s="6">
        <v>3.2</v>
      </c>
      <c r="E15" s="7">
        <f t="shared" si="1"/>
        <v>0.8736</v>
      </c>
      <c r="F15" s="8">
        <f t="shared" si="2"/>
        <v>0.8736</v>
      </c>
      <c r="G15" s="8">
        <f t="shared" si="3"/>
        <v>1192.7552</v>
      </c>
      <c r="H15" s="8">
        <f t="shared" si="4"/>
        <v>7.280000058</v>
      </c>
      <c r="I15" s="7">
        <v>1.21</v>
      </c>
      <c r="J15" s="9">
        <f t="shared" si="5"/>
        <v>2957.244298</v>
      </c>
      <c r="K15" s="10">
        <f t="shared" si="6"/>
        <v>13.0031746</v>
      </c>
    </row>
    <row r="16" ht="22.5" customHeight="1">
      <c r="A16" s="5">
        <v>3.0</v>
      </c>
      <c r="B16" s="11">
        <f t="shared" si="7"/>
        <v>294</v>
      </c>
      <c r="C16" s="5">
        <v>295.0</v>
      </c>
      <c r="D16" s="6">
        <v>3.2</v>
      </c>
      <c r="E16" s="7">
        <f t="shared" si="1"/>
        <v>0.944</v>
      </c>
      <c r="F16" s="8">
        <f t="shared" si="2"/>
        <v>0.944</v>
      </c>
      <c r="G16" s="8">
        <f t="shared" si="3"/>
        <v>1288.874667</v>
      </c>
      <c r="H16" s="8">
        <f t="shared" si="4"/>
        <v>7.866666729</v>
      </c>
      <c r="I16" s="7">
        <v>1.21</v>
      </c>
      <c r="J16" s="9">
        <f t="shared" si="5"/>
        <v>3195.557025</v>
      </c>
      <c r="K16" s="10">
        <f t="shared" si="6"/>
        <v>14.05104948</v>
      </c>
    </row>
    <row r="17" ht="22.5" customHeight="1">
      <c r="A17" s="5">
        <v>3.0</v>
      </c>
      <c r="B17" s="11">
        <f t="shared" si="7"/>
        <v>315</v>
      </c>
      <c r="C17" s="5">
        <v>316.0</v>
      </c>
      <c r="D17" s="6">
        <v>3.2</v>
      </c>
      <c r="E17" s="7">
        <f t="shared" si="1"/>
        <v>1.0112</v>
      </c>
      <c r="F17" s="8">
        <f t="shared" si="2"/>
        <v>1.0112</v>
      </c>
      <c r="G17" s="8">
        <f t="shared" si="3"/>
        <v>1380.625067</v>
      </c>
      <c r="H17" s="8">
        <f t="shared" si="4"/>
        <v>8.426666734</v>
      </c>
      <c r="I17" s="7">
        <v>1.21</v>
      </c>
      <c r="J17" s="9">
        <f t="shared" si="5"/>
        <v>3423.037355</v>
      </c>
      <c r="K17" s="10">
        <f t="shared" si="6"/>
        <v>15.05129368</v>
      </c>
    </row>
    <row r="18" ht="22.5" customHeight="1">
      <c r="A18" s="5">
        <v>3.0</v>
      </c>
      <c r="B18" s="11">
        <f t="shared" si="7"/>
        <v>336</v>
      </c>
      <c r="C18" s="5">
        <v>337.0</v>
      </c>
      <c r="D18" s="6">
        <v>3.2</v>
      </c>
      <c r="E18" s="7">
        <f t="shared" si="1"/>
        <v>1.0784</v>
      </c>
      <c r="F18" s="8">
        <f t="shared" si="2"/>
        <v>1.0784</v>
      </c>
      <c r="G18" s="8">
        <f t="shared" si="3"/>
        <v>1472.375467</v>
      </c>
      <c r="H18" s="8">
        <f t="shared" si="4"/>
        <v>8.986666738</v>
      </c>
      <c r="I18" s="7">
        <v>1.21</v>
      </c>
      <c r="J18" s="9">
        <f t="shared" si="5"/>
        <v>3650.517686</v>
      </c>
      <c r="K18" s="10">
        <f t="shared" si="6"/>
        <v>16.05153788</v>
      </c>
    </row>
    <row r="19" ht="22.5" customHeight="1">
      <c r="A19" s="12">
        <v>2.9</v>
      </c>
      <c r="B19" s="12">
        <v>0.0</v>
      </c>
      <c r="C19" s="12">
        <v>1.06</v>
      </c>
      <c r="D19" s="13">
        <v>3.2</v>
      </c>
      <c r="E19" s="14">
        <f t="shared" si="1"/>
        <v>0.003392</v>
      </c>
      <c r="F19" s="14">
        <f t="shared" si="2"/>
        <v>0.003392</v>
      </c>
      <c r="G19" s="15">
        <f t="shared" si="3"/>
        <v>4.790907586</v>
      </c>
      <c r="H19" s="15">
        <f t="shared" si="4"/>
        <v>0.02924137954</v>
      </c>
      <c r="I19" s="14">
        <v>1.21</v>
      </c>
      <c r="J19" s="9">
        <f t="shared" si="5"/>
        <v>11.4823405</v>
      </c>
      <c r="K19" s="10">
        <f t="shared" si="6"/>
        <v>0.05048851677</v>
      </c>
    </row>
    <row r="20" ht="22.5" customHeight="1">
      <c r="A20" s="12">
        <v>2.9</v>
      </c>
      <c r="B20" s="12">
        <v>21.0</v>
      </c>
      <c r="C20" s="12">
        <v>20.7</v>
      </c>
      <c r="D20" s="13">
        <v>3.2</v>
      </c>
      <c r="E20" s="14">
        <f t="shared" si="1"/>
        <v>0.06624</v>
      </c>
      <c r="F20" s="14">
        <f t="shared" si="2"/>
        <v>0.06624</v>
      </c>
      <c r="G20" s="15">
        <f t="shared" si="3"/>
        <v>93.55828966</v>
      </c>
      <c r="H20" s="15">
        <f t="shared" si="4"/>
        <v>0.5710344873</v>
      </c>
      <c r="I20" s="14">
        <v>1.21</v>
      </c>
      <c r="J20" s="9">
        <f t="shared" si="5"/>
        <v>224.2306116</v>
      </c>
      <c r="K20" s="10">
        <f t="shared" si="6"/>
        <v>0.9859549974</v>
      </c>
    </row>
    <row r="21" ht="22.5" customHeight="1">
      <c r="A21" s="12">
        <v>2.9</v>
      </c>
      <c r="B21" s="16">
        <f t="shared" ref="B21:B35" si="8">B20+21</f>
        <v>42</v>
      </c>
      <c r="C21" s="12">
        <v>41.7</v>
      </c>
      <c r="D21" s="13">
        <v>3.2</v>
      </c>
      <c r="E21" s="14">
        <f t="shared" si="1"/>
        <v>0.13344</v>
      </c>
      <c r="F21" s="14">
        <f t="shared" si="2"/>
        <v>0.13344</v>
      </c>
      <c r="G21" s="15">
        <f t="shared" si="3"/>
        <v>188.4724966</v>
      </c>
      <c r="H21" s="15">
        <f t="shared" si="4"/>
        <v>1.150344837</v>
      </c>
      <c r="I21" s="14">
        <v>1.21</v>
      </c>
      <c r="J21" s="9">
        <f t="shared" si="5"/>
        <v>451.7109421</v>
      </c>
      <c r="K21" s="10">
        <f t="shared" si="6"/>
        <v>1.986199198</v>
      </c>
    </row>
    <row r="22" ht="22.5" customHeight="1">
      <c r="A22" s="12">
        <v>2.9</v>
      </c>
      <c r="B22" s="16">
        <f t="shared" si="8"/>
        <v>63</v>
      </c>
      <c r="C22" s="12">
        <v>62.8</v>
      </c>
      <c r="D22" s="13">
        <v>3.2</v>
      </c>
      <c r="E22" s="14">
        <f t="shared" si="1"/>
        <v>0.20096</v>
      </c>
      <c r="F22" s="14">
        <f t="shared" si="2"/>
        <v>0.20096</v>
      </c>
      <c r="G22" s="15">
        <f t="shared" si="3"/>
        <v>283.8386759</v>
      </c>
      <c r="H22" s="15">
        <f t="shared" si="4"/>
        <v>1.732413807</v>
      </c>
      <c r="I22" s="14">
        <v>1.21</v>
      </c>
      <c r="J22" s="9">
        <f t="shared" si="5"/>
        <v>680.2745124</v>
      </c>
      <c r="K22" s="10">
        <f t="shared" si="6"/>
        <v>2.991206465</v>
      </c>
    </row>
    <row r="23" ht="22.5" customHeight="1">
      <c r="A23" s="12">
        <v>2.9</v>
      </c>
      <c r="B23" s="16">
        <f t="shared" si="8"/>
        <v>84</v>
      </c>
      <c r="C23" s="12">
        <v>83.9</v>
      </c>
      <c r="D23" s="13">
        <v>3.2</v>
      </c>
      <c r="E23" s="14">
        <f t="shared" si="1"/>
        <v>0.26848</v>
      </c>
      <c r="F23" s="14">
        <f t="shared" si="2"/>
        <v>0.26848</v>
      </c>
      <c r="G23" s="15">
        <f t="shared" si="3"/>
        <v>379.2048552</v>
      </c>
      <c r="H23" s="15">
        <f t="shared" si="4"/>
        <v>2.314482777</v>
      </c>
      <c r="I23" s="14">
        <v>1.21</v>
      </c>
      <c r="J23" s="9">
        <f t="shared" si="5"/>
        <v>908.8380826</v>
      </c>
      <c r="K23" s="10">
        <f t="shared" si="6"/>
        <v>3.996213733</v>
      </c>
    </row>
    <row r="24" ht="22.5" customHeight="1">
      <c r="A24" s="12">
        <v>2.9</v>
      </c>
      <c r="B24" s="16">
        <f t="shared" si="8"/>
        <v>105</v>
      </c>
      <c r="C24" s="12">
        <v>105.0</v>
      </c>
      <c r="D24" s="13">
        <v>3.2</v>
      </c>
      <c r="E24" s="14">
        <f t="shared" si="1"/>
        <v>0.336</v>
      </c>
      <c r="F24" s="15">
        <f t="shared" si="2"/>
        <v>0.336</v>
      </c>
      <c r="G24" s="15">
        <f t="shared" si="3"/>
        <v>474.5710345</v>
      </c>
      <c r="H24" s="15">
        <f t="shared" si="4"/>
        <v>2.896551747</v>
      </c>
      <c r="I24" s="14">
        <v>1.21</v>
      </c>
      <c r="J24" s="9">
        <f t="shared" si="5"/>
        <v>1137.401653</v>
      </c>
      <c r="K24" s="10">
        <f t="shared" si="6"/>
        <v>5.001221001</v>
      </c>
    </row>
    <row r="25" ht="22.5" customHeight="1">
      <c r="A25" s="12">
        <v>2.9</v>
      </c>
      <c r="B25" s="16">
        <f t="shared" si="8"/>
        <v>126</v>
      </c>
      <c r="C25" s="12">
        <v>126.0</v>
      </c>
      <c r="D25" s="13">
        <v>3.2</v>
      </c>
      <c r="E25" s="14">
        <f t="shared" si="1"/>
        <v>0.4032</v>
      </c>
      <c r="F25" s="15">
        <f t="shared" si="2"/>
        <v>0.4032</v>
      </c>
      <c r="G25" s="15">
        <f t="shared" si="3"/>
        <v>569.4852414</v>
      </c>
      <c r="H25" s="15">
        <f t="shared" si="4"/>
        <v>3.475862097</v>
      </c>
      <c r="I25" s="14">
        <v>1.21</v>
      </c>
      <c r="J25" s="9">
        <f t="shared" si="5"/>
        <v>1364.881983</v>
      </c>
      <c r="K25" s="10">
        <f t="shared" si="6"/>
        <v>6.001465201</v>
      </c>
    </row>
    <row r="26" ht="22.5" customHeight="1">
      <c r="A26" s="12">
        <v>2.9</v>
      </c>
      <c r="B26" s="16">
        <f t="shared" si="8"/>
        <v>147</v>
      </c>
      <c r="C26" s="12">
        <v>147.0</v>
      </c>
      <c r="D26" s="13">
        <v>3.2</v>
      </c>
      <c r="E26" s="14">
        <f t="shared" si="1"/>
        <v>0.4704</v>
      </c>
      <c r="F26" s="15">
        <f t="shared" si="2"/>
        <v>0.4704</v>
      </c>
      <c r="G26" s="15">
        <f t="shared" si="3"/>
        <v>664.3994483</v>
      </c>
      <c r="H26" s="15">
        <f t="shared" si="4"/>
        <v>4.055172446</v>
      </c>
      <c r="I26" s="14">
        <v>1.21</v>
      </c>
      <c r="J26" s="9">
        <f t="shared" si="5"/>
        <v>1592.362314</v>
      </c>
      <c r="K26" s="10">
        <f t="shared" si="6"/>
        <v>7.001709402</v>
      </c>
    </row>
    <row r="27" ht="22.5" customHeight="1">
      <c r="A27" s="12">
        <v>2.9</v>
      </c>
      <c r="B27" s="16">
        <f t="shared" si="8"/>
        <v>168</v>
      </c>
      <c r="C27" s="12">
        <v>168.0</v>
      </c>
      <c r="D27" s="13">
        <v>3.2</v>
      </c>
      <c r="E27" s="14">
        <f t="shared" si="1"/>
        <v>0.5376</v>
      </c>
      <c r="F27" s="15">
        <f t="shared" si="2"/>
        <v>0.5376</v>
      </c>
      <c r="G27" s="15">
        <f t="shared" si="3"/>
        <v>759.3136552</v>
      </c>
      <c r="H27" s="15">
        <f t="shared" si="4"/>
        <v>4.634482795</v>
      </c>
      <c r="I27" s="14">
        <v>1.21</v>
      </c>
      <c r="J27" s="9">
        <f t="shared" si="5"/>
        <v>1819.842645</v>
      </c>
      <c r="K27" s="10">
        <f t="shared" si="6"/>
        <v>8.001953602</v>
      </c>
    </row>
    <row r="28" ht="22.5" customHeight="1">
      <c r="A28" s="12">
        <v>2.9</v>
      </c>
      <c r="B28" s="16">
        <f t="shared" si="8"/>
        <v>189</v>
      </c>
      <c r="C28" s="12">
        <v>189.0</v>
      </c>
      <c r="D28" s="13">
        <v>3.2</v>
      </c>
      <c r="E28" s="14">
        <f t="shared" si="1"/>
        <v>0.6048</v>
      </c>
      <c r="F28" s="15">
        <f t="shared" si="2"/>
        <v>0.6048</v>
      </c>
      <c r="G28" s="15">
        <f t="shared" si="3"/>
        <v>854.2278621</v>
      </c>
      <c r="H28" s="15">
        <f t="shared" si="4"/>
        <v>5.213793145</v>
      </c>
      <c r="I28" s="14">
        <v>1.21</v>
      </c>
      <c r="J28" s="9">
        <f t="shared" si="5"/>
        <v>2047.322975</v>
      </c>
      <c r="K28" s="10">
        <f t="shared" si="6"/>
        <v>9.002197802</v>
      </c>
    </row>
    <row r="29" ht="22.5" customHeight="1">
      <c r="A29" s="12">
        <v>2.9</v>
      </c>
      <c r="B29" s="16">
        <f t="shared" si="8"/>
        <v>210</v>
      </c>
      <c r="C29" s="12">
        <v>210.0</v>
      </c>
      <c r="D29" s="13">
        <v>3.2</v>
      </c>
      <c r="E29" s="14">
        <f t="shared" si="1"/>
        <v>0.672</v>
      </c>
      <c r="F29" s="15">
        <f t="shared" si="2"/>
        <v>0.672</v>
      </c>
      <c r="G29" s="15">
        <f t="shared" si="3"/>
        <v>949.142069</v>
      </c>
      <c r="H29" s="15">
        <f t="shared" si="4"/>
        <v>5.793103494</v>
      </c>
      <c r="I29" s="14">
        <v>1.21</v>
      </c>
      <c r="J29" s="9">
        <f t="shared" si="5"/>
        <v>2274.803306</v>
      </c>
      <c r="K29" s="10">
        <f t="shared" si="6"/>
        <v>10.002442</v>
      </c>
    </row>
    <row r="30" ht="22.5" customHeight="1">
      <c r="A30" s="12">
        <v>2.9</v>
      </c>
      <c r="B30" s="16">
        <f t="shared" si="8"/>
        <v>231</v>
      </c>
      <c r="C30" s="12">
        <v>231.0</v>
      </c>
      <c r="D30" s="13">
        <v>3.2</v>
      </c>
      <c r="E30" s="14">
        <f t="shared" si="1"/>
        <v>0.7392</v>
      </c>
      <c r="F30" s="15">
        <f t="shared" si="2"/>
        <v>0.7392</v>
      </c>
      <c r="G30" s="15">
        <f t="shared" si="3"/>
        <v>1044.056276</v>
      </c>
      <c r="H30" s="15">
        <f t="shared" si="4"/>
        <v>6.372413844</v>
      </c>
      <c r="I30" s="14">
        <v>1.21</v>
      </c>
      <c r="J30" s="9">
        <f t="shared" si="5"/>
        <v>2502.283636</v>
      </c>
      <c r="K30" s="10">
        <f t="shared" si="6"/>
        <v>11.0026862</v>
      </c>
    </row>
    <row r="31" ht="22.5" customHeight="1">
      <c r="A31" s="12">
        <v>2.9</v>
      </c>
      <c r="B31" s="16">
        <f t="shared" si="8"/>
        <v>252</v>
      </c>
      <c r="C31" s="12">
        <v>252.0</v>
      </c>
      <c r="D31" s="13">
        <v>3.2</v>
      </c>
      <c r="E31" s="14">
        <f t="shared" si="1"/>
        <v>0.8064</v>
      </c>
      <c r="F31" s="15">
        <f t="shared" si="2"/>
        <v>0.8064</v>
      </c>
      <c r="G31" s="15">
        <f t="shared" si="3"/>
        <v>1138.970483</v>
      </c>
      <c r="H31" s="15">
        <f t="shared" si="4"/>
        <v>6.951724193</v>
      </c>
      <c r="I31" s="14">
        <v>1.21</v>
      </c>
      <c r="J31" s="9">
        <f t="shared" si="5"/>
        <v>2729.763967</v>
      </c>
      <c r="K31" s="10">
        <f t="shared" si="6"/>
        <v>12.0029304</v>
      </c>
    </row>
    <row r="32" ht="22.5" customHeight="1">
      <c r="A32" s="12">
        <v>2.9</v>
      </c>
      <c r="B32" s="16">
        <f t="shared" si="8"/>
        <v>273</v>
      </c>
      <c r="C32" s="12">
        <v>273.0</v>
      </c>
      <c r="D32" s="13">
        <v>3.2</v>
      </c>
      <c r="E32" s="14">
        <f t="shared" si="1"/>
        <v>0.8736</v>
      </c>
      <c r="F32" s="15">
        <f t="shared" si="2"/>
        <v>0.8736</v>
      </c>
      <c r="G32" s="15">
        <f t="shared" si="3"/>
        <v>1233.88469</v>
      </c>
      <c r="H32" s="15">
        <f t="shared" si="4"/>
        <v>7.531034543</v>
      </c>
      <c r="I32" s="14">
        <v>1.21</v>
      </c>
      <c r="J32" s="9">
        <f t="shared" si="5"/>
        <v>2957.244298</v>
      </c>
      <c r="K32" s="10">
        <f t="shared" si="6"/>
        <v>13.0031746</v>
      </c>
    </row>
    <row r="33" ht="22.5" customHeight="1">
      <c r="A33" s="12">
        <v>2.9</v>
      </c>
      <c r="B33" s="16">
        <f t="shared" si="8"/>
        <v>294</v>
      </c>
      <c r="C33" s="12">
        <v>295.0</v>
      </c>
      <c r="D33" s="13">
        <v>3.2</v>
      </c>
      <c r="E33" s="14">
        <f t="shared" si="1"/>
        <v>0.944</v>
      </c>
      <c r="F33" s="15">
        <f t="shared" si="2"/>
        <v>0.944</v>
      </c>
      <c r="G33" s="15">
        <f t="shared" si="3"/>
        <v>1333.318621</v>
      </c>
      <c r="H33" s="15">
        <f t="shared" si="4"/>
        <v>8.137931099</v>
      </c>
      <c r="I33" s="14">
        <v>1.21</v>
      </c>
      <c r="J33" s="9">
        <f t="shared" si="5"/>
        <v>3195.557025</v>
      </c>
      <c r="K33" s="10">
        <f t="shared" si="6"/>
        <v>14.05104948</v>
      </c>
    </row>
    <row r="34" ht="22.5" customHeight="1">
      <c r="A34" s="12">
        <v>2.9</v>
      </c>
      <c r="B34" s="16">
        <f t="shared" si="8"/>
        <v>315</v>
      </c>
      <c r="C34" s="12">
        <v>316.0</v>
      </c>
      <c r="D34" s="13">
        <v>3.2</v>
      </c>
      <c r="E34" s="14">
        <f t="shared" si="1"/>
        <v>1.0112</v>
      </c>
      <c r="F34" s="15">
        <f t="shared" si="2"/>
        <v>1.0112</v>
      </c>
      <c r="G34" s="15">
        <f t="shared" si="3"/>
        <v>1428.232828</v>
      </c>
      <c r="H34" s="15">
        <f t="shared" si="4"/>
        <v>8.717241448</v>
      </c>
      <c r="I34" s="14">
        <v>1.21</v>
      </c>
      <c r="J34" s="9">
        <f t="shared" si="5"/>
        <v>3423.037355</v>
      </c>
      <c r="K34" s="10">
        <f t="shared" si="6"/>
        <v>15.05129368</v>
      </c>
    </row>
    <row r="35" ht="22.5" customHeight="1">
      <c r="A35" s="12">
        <v>2.9</v>
      </c>
      <c r="B35" s="16">
        <f t="shared" si="8"/>
        <v>336</v>
      </c>
      <c r="C35" s="12">
        <v>337.0</v>
      </c>
      <c r="D35" s="13">
        <v>3.2</v>
      </c>
      <c r="E35" s="14">
        <f t="shared" si="1"/>
        <v>1.0784</v>
      </c>
      <c r="F35" s="15">
        <f t="shared" si="2"/>
        <v>1.0784</v>
      </c>
      <c r="G35" s="15">
        <f t="shared" si="3"/>
        <v>1523.147034</v>
      </c>
      <c r="H35" s="15">
        <f t="shared" si="4"/>
        <v>9.296551798</v>
      </c>
      <c r="I35" s="14">
        <v>1.21</v>
      </c>
      <c r="J35" s="9">
        <f t="shared" si="5"/>
        <v>3650.517686</v>
      </c>
      <c r="K35" s="10">
        <f t="shared" si="6"/>
        <v>16.05153788</v>
      </c>
    </row>
    <row r="36" ht="22.5" customHeight="1">
      <c r="A36" s="5">
        <v>2.8</v>
      </c>
      <c r="B36" s="5">
        <v>0.0</v>
      </c>
      <c r="C36" s="5">
        <v>1.06</v>
      </c>
      <c r="D36" s="6">
        <v>3.2</v>
      </c>
      <c r="E36" s="7">
        <f t="shared" si="1"/>
        <v>0.003392</v>
      </c>
      <c r="F36" s="7">
        <f t="shared" si="2"/>
        <v>0.003392</v>
      </c>
      <c r="G36" s="8">
        <f t="shared" si="3"/>
        <v>4.962011429</v>
      </c>
      <c r="H36" s="8">
        <f t="shared" si="4"/>
        <v>0.03028571453</v>
      </c>
      <c r="I36" s="7">
        <v>1.21</v>
      </c>
      <c r="J36" s="9">
        <f t="shared" si="5"/>
        <v>11.4823405</v>
      </c>
      <c r="K36" s="10">
        <f t="shared" si="6"/>
        <v>0.05048851677</v>
      </c>
    </row>
    <row r="37" ht="22.5" customHeight="1">
      <c r="A37" s="5">
        <v>2.8</v>
      </c>
      <c r="B37" s="5">
        <v>21.0</v>
      </c>
      <c r="C37" s="5">
        <v>20.7</v>
      </c>
      <c r="D37" s="6">
        <v>3.2</v>
      </c>
      <c r="E37" s="7">
        <f t="shared" si="1"/>
        <v>0.06624</v>
      </c>
      <c r="F37" s="7">
        <f t="shared" si="2"/>
        <v>0.06624</v>
      </c>
      <c r="G37" s="8">
        <f t="shared" si="3"/>
        <v>96.89965714</v>
      </c>
      <c r="H37" s="8">
        <f t="shared" si="4"/>
        <v>0.5914285761</v>
      </c>
      <c r="I37" s="7">
        <v>1.21</v>
      </c>
      <c r="J37" s="9">
        <f t="shared" si="5"/>
        <v>224.2306116</v>
      </c>
      <c r="K37" s="10">
        <f t="shared" si="6"/>
        <v>0.9859549974</v>
      </c>
    </row>
    <row r="38" ht="22.5" customHeight="1">
      <c r="A38" s="5">
        <v>2.8</v>
      </c>
      <c r="B38" s="11">
        <f t="shared" ref="B38:B52" si="9">B37+21</f>
        <v>42</v>
      </c>
      <c r="C38" s="5">
        <v>41.7</v>
      </c>
      <c r="D38" s="6">
        <v>3.2</v>
      </c>
      <c r="E38" s="7">
        <f t="shared" si="1"/>
        <v>0.13344</v>
      </c>
      <c r="F38" s="7">
        <f t="shared" si="2"/>
        <v>0.13344</v>
      </c>
      <c r="G38" s="8">
        <f t="shared" si="3"/>
        <v>195.2036571</v>
      </c>
      <c r="H38" s="8">
        <f t="shared" si="4"/>
        <v>1.191428581</v>
      </c>
      <c r="I38" s="7">
        <v>1.21</v>
      </c>
      <c r="J38" s="9">
        <f t="shared" si="5"/>
        <v>451.7109421</v>
      </c>
      <c r="K38" s="10">
        <f t="shared" si="6"/>
        <v>1.986199198</v>
      </c>
    </row>
    <row r="39" ht="22.5" customHeight="1">
      <c r="A39" s="5">
        <v>2.8</v>
      </c>
      <c r="B39" s="11">
        <f t="shared" si="9"/>
        <v>63</v>
      </c>
      <c r="C39" s="5">
        <v>62.8</v>
      </c>
      <c r="D39" s="6">
        <v>3.2</v>
      </c>
      <c r="E39" s="7">
        <f t="shared" si="1"/>
        <v>0.20096</v>
      </c>
      <c r="F39" s="7">
        <f t="shared" si="2"/>
        <v>0.20096</v>
      </c>
      <c r="G39" s="8">
        <f t="shared" si="3"/>
        <v>293.9757714</v>
      </c>
      <c r="H39" s="8">
        <f t="shared" si="4"/>
        <v>1.794285729</v>
      </c>
      <c r="I39" s="7">
        <v>1.21</v>
      </c>
      <c r="J39" s="9">
        <f t="shared" si="5"/>
        <v>680.2745124</v>
      </c>
      <c r="K39" s="10">
        <f t="shared" si="6"/>
        <v>2.991206465</v>
      </c>
    </row>
    <row r="40" ht="22.5" customHeight="1">
      <c r="A40" s="5">
        <v>2.8</v>
      </c>
      <c r="B40" s="11">
        <f t="shared" si="9"/>
        <v>84</v>
      </c>
      <c r="C40" s="5">
        <v>83.9</v>
      </c>
      <c r="D40" s="6">
        <v>3.2</v>
      </c>
      <c r="E40" s="7">
        <f t="shared" si="1"/>
        <v>0.26848</v>
      </c>
      <c r="F40" s="7">
        <f t="shared" si="2"/>
        <v>0.26848</v>
      </c>
      <c r="G40" s="8">
        <f t="shared" si="3"/>
        <v>392.7478857</v>
      </c>
      <c r="H40" s="8">
        <f t="shared" si="4"/>
        <v>2.397142876</v>
      </c>
      <c r="I40" s="7">
        <v>1.21</v>
      </c>
      <c r="J40" s="9">
        <f t="shared" si="5"/>
        <v>908.8380826</v>
      </c>
      <c r="K40" s="10">
        <f t="shared" si="6"/>
        <v>3.996213733</v>
      </c>
    </row>
    <row r="41" ht="22.5" customHeight="1">
      <c r="A41" s="5">
        <v>2.8</v>
      </c>
      <c r="B41" s="11">
        <f t="shared" si="9"/>
        <v>105</v>
      </c>
      <c r="C41" s="5">
        <v>105.0</v>
      </c>
      <c r="D41" s="6">
        <v>3.2</v>
      </c>
      <c r="E41" s="7">
        <f t="shared" si="1"/>
        <v>0.336</v>
      </c>
      <c r="F41" s="8">
        <f t="shared" si="2"/>
        <v>0.336</v>
      </c>
      <c r="G41" s="8">
        <f t="shared" si="3"/>
        <v>491.52</v>
      </c>
      <c r="H41" s="8">
        <f t="shared" si="4"/>
        <v>3.000000024</v>
      </c>
      <c r="I41" s="7">
        <v>1.21</v>
      </c>
      <c r="J41" s="9">
        <f t="shared" si="5"/>
        <v>1137.401653</v>
      </c>
      <c r="K41" s="10">
        <f t="shared" si="6"/>
        <v>5.001221001</v>
      </c>
    </row>
    <row r="42" ht="22.5" customHeight="1">
      <c r="A42" s="5">
        <v>2.8</v>
      </c>
      <c r="B42" s="11">
        <f t="shared" si="9"/>
        <v>126</v>
      </c>
      <c r="C42" s="5">
        <v>126.0</v>
      </c>
      <c r="D42" s="6">
        <v>3.2</v>
      </c>
      <c r="E42" s="7">
        <f t="shared" si="1"/>
        <v>0.4032</v>
      </c>
      <c r="F42" s="8">
        <f t="shared" si="2"/>
        <v>0.4032</v>
      </c>
      <c r="G42" s="8">
        <f t="shared" si="3"/>
        <v>589.824</v>
      </c>
      <c r="H42" s="8">
        <f t="shared" si="4"/>
        <v>3.600000029</v>
      </c>
      <c r="I42" s="7">
        <v>1.21</v>
      </c>
      <c r="J42" s="9">
        <f t="shared" si="5"/>
        <v>1364.881983</v>
      </c>
      <c r="K42" s="10">
        <f t="shared" si="6"/>
        <v>6.001465201</v>
      </c>
    </row>
    <row r="43" ht="22.5" customHeight="1">
      <c r="A43" s="5">
        <v>2.8</v>
      </c>
      <c r="B43" s="11">
        <f t="shared" si="9"/>
        <v>147</v>
      </c>
      <c r="C43" s="5">
        <v>147.0</v>
      </c>
      <c r="D43" s="6">
        <v>3.2</v>
      </c>
      <c r="E43" s="7">
        <f t="shared" si="1"/>
        <v>0.4704</v>
      </c>
      <c r="F43" s="8">
        <f t="shared" si="2"/>
        <v>0.4704</v>
      </c>
      <c r="G43" s="8">
        <f t="shared" si="3"/>
        <v>688.128</v>
      </c>
      <c r="H43" s="8">
        <f t="shared" si="4"/>
        <v>4.200000033</v>
      </c>
      <c r="I43" s="7">
        <v>1.21</v>
      </c>
      <c r="J43" s="9">
        <f t="shared" si="5"/>
        <v>1592.362314</v>
      </c>
      <c r="K43" s="10">
        <f t="shared" si="6"/>
        <v>7.001709402</v>
      </c>
    </row>
    <row r="44" ht="22.5" customHeight="1">
      <c r="A44" s="5">
        <v>2.8</v>
      </c>
      <c r="B44" s="11">
        <f t="shared" si="9"/>
        <v>168</v>
      </c>
      <c r="C44" s="5">
        <v>168.0</v>
      </c>
      <c r="D44" s="6">
        <v>3.2</v>
      </c>
      <c r="E44" s="7">
        <f t="shared" si="1"/>
        <v>0.5376</v>
      </c>
      <c r="F44" s="8">
        <f t="shared" si="2"/>
        <v>0.5376</v>
      </c>
      <c r="G44" s="8">
        <f t="shared" si="3"/>
        <v>786.432</v>
      </c>
      <c r="H44" s="8">
        <f t="shared" si="4"/>
        <v>4.800000038</v>
      </c>
      <c r="I44" s="7">
        <v>1.21</v>
      </c>
      <c r="J44" s="9">
        <f t="shared" si="5"/>
        <v>1819.842645</v>
      </c>
      <c r="K44" s="10">
        <f t="shared" si="6"/>
        <v>8.001953602</v>
      </c>
    </row>
    <row r="45" ht="22.5" customHeight="1">
      <c r="A45" s="5">
        <v>2.8</v>
      </c>
      <c r="B45" s="11">
        <f t="shared" si="9"/>
        <v>189</v>
      </c>
      <c r="C45" s="5">
        <v>189.0</v>
      </c>
      <c r="D45" s="6">
        <v>3.2</v>
      </c>
      <c r="E45" s="7">
        <f t="shared" si="1"/>
        <v>0.6048</v>
      </c>
      <c r="F45" s="8">
        <f t="shared" si="2"/>
        <v>0.6048</v>
      </c>
      <c r="G45" s="8">
        <f t="shared" si="3"/>
        <v>884.736</v>
      </c>
      <c r="H45" s="8">
        <f t="shared" si="4"/>
        <v>5.400000043</v>
      </c>
      <c r="I45" s="7">
        <v>1.21</v>
      </c>
      <c r="J45" s="9">
        <f t="shared" si="5"/>
        <v>2047.322975</v>
      </c>
      <c r="K45" s="10">
        <f t="shared" si="6"/>
        <v>9.002197802</v>
      </c>
    </row>
    <row r="46" ht="22.5" customHeight="1">
      <c r="A46" s="5">
        <v>2.8</v>
      </c>
      <c r="B46" s="11">
        <f t="shared" si="9"/>
        <v>210</v>
      </c>
      <c r="C46" s="5">
        <v>210.0</v>
      </c>
      <c r="D46" s="6">
        <v>3.2</v>
      </c>
      <c r="E46" s="7">
        <f t="shared" si="1"/>
        <v>0.672</v>
      </c>
      <c r="F46" s="8">
        <f t="shared" si="2"/>
        <v>0.672</v>
      </c>
      <c r="G46" s="8">
        <f t="shared" si="3"/>
        <v>983.04</v>
      </c>
      <c r="H46" s="8">
        <f t="shared" si="4"/>
        <v>6.000000048</v>
      </c>
      <c r="I46" s="7">
        <v>1.21</v>
      </c>
      <c r="J46" s="9">
        <f t="shared" si="5"/>
        <v>2274.803306</v>
      </c>
      <c r="K46" s="10">
        <f t="shared" si="6"/>
        <v>10.002442</v>
      </c>
    </row>
    <row r="47" ht="22.5" customHeight="1">
      <c r="A47" s="5">
        <v>2.8</v>
      </c>
      <c r="B47" s="11">
        <f t="shared" si="9"/>
        <v>231</v>
      </c>
      <c r="C47" s="5">
        <v>231.0</v>
      </c>
      <c r="D47" s="6">
        <v>3.2</v>
      </c>
      <c r="E47" s="7">
        <f t="shared" si="1"/>
        <v>0.7392</v>
      </c>
      <c r="F47" s="8">
        <f t="shared" si="2"/>
        <v>0.7392</v>
      </c>
      <c r="G47" s="8">
        <f t="shared" si="3"/>
        <v>1081.344</v>
      </c>
      <c r="H47" s="8">
        <f t="shared" si="4"/>
        <v>6.600000052</v>
      </c>
      <c r="I47" s="7">
        <v>1.21</v>
      </c>
      <c r="J47" s="9">
        <f t="shared" si="5"/>
        <v>2502.283636</v>
      </c>
      <c r="K47" s="10">
        <f t="shared" si="6"/>
        <v>11.0026862</v>
      </c>
    </row>
    <row r="48" ht="22.5" customHeight="1">
      <c r="A48" s="5">
        <v>2.8</v>
      </c>
      <c r="B48" s="11">
        <f t="shared" si="9"/>
        <v>252</v>
      </c>
      <c r="C48" s="5">
        <v>252.0</v>
      </c>
      <c r="D48" s="6">
        <v>3.2</v>
      </c>
      <c r="E48" s="7">
        <f t="shared" si="1"/>
        <v>0.8064</v>
      </c>
      <c r="F48" s="8">
        <f t="shared" si="2"/>
        <v>0.8064</v>
      </c>
      <c r="G48" s="8">
        <f t="shared" si="3"/>
        <v>1179.648</v>
      </c>
      <c r="H48" s="8">
        <f t="shared" si="4"/>
        <v>7.200000057</v>
      </c>
      <c r="I48" s="7">
        <v>1.21</v>
      </c>
      <c r="J48" s="9">
        <f t="shared" si="5"/>
        <v>2729.763967</v>
      </c>
      <c r="K48" s="10">
        <f t="shared" si="6"/>
        <v>12.0029304</v>
      </c>
    </row>
    <row r="49" ht="22.5" customHeight="1">
      <c r="A49" s="5">
        <v>2.8</v>
      </c>
      <c r="B49" s="11">
        <f t="shared" si="9"/>
        <v>273</v>
      </c>
      <c r="C49" s="5">
        <v>273.0</v>
      </c>
      <c r="D49" s="6">
        <v>3.2</v>
      </c>
      <c r="E49" s="7">
        <f t="shared" si="1"/>
        <v>0.8736</v>
      </c>
      <c r="F49" s="8">
        <f t="shared" si="2"/>
        <v>0.8736</v>
      </c>
      <c r="G49" s="8">
        <f t="shared" si="3"/>
        <v>1277.952</v>
      </c>
      <c r="H49" s="8">
        <f t="shared" si="4"/>
        <v>7.800000062</v>
      </c>
      <c r="I49" s="7">
        <v>1.21</v>
      </c>
      <c r="J49" s="9">
        <f t="shared" si="5"/>
        <v>2957.244298</v>
      </c>
      <c r="K49" s="10">
        <f t="shared" si="6"/>
        <v>13.0031746</v>
      </c>
    </row>
    <row r="50" ht="22.5" customHeight="1">
      <c r="A50" s="5">
        <v>2.8</v>
      </c>
      <c r="B50" s="11">
        <f t="shared" si="9"/>
        <v>294</v>
      </c>
      <c r="C50" s="5">
        <v>295.0</v>
      </c>
      <c r="D50" s="6">
        <v>3.2</v>
      </c>
      <c r="E50" s="7">
        <f t="shared" si="1"/>
        <v>0.944</v>
      </c>
      <c r="F50" s="8">
        <f t="shared" si="2"/>
        <v>0.944</v>
      </c>
      <c r="G50" s="8">
        <f t="shared" si="3"/>
        <v>1380.937143</v>
      </c>
      <c r="H50" s="8">
        <f t="shared" si="4"/>
        <v>8.428571495</v>
      </c>
      <c r="I50" s="7">
        <v>1.21</v>
      </c>
      <c r="J50" s="9">
        <f t="shared" si="5"/>
        <v>3195.557025</v>
      </c>
      <c r="K50" s="10">
        <f t="shared" si="6"/>
        <v>14.05104948</v>
      </c>
    </row>
    <row r="51" ht="22.5" customHeight="1">
      <c r="A51" s="5">
        <v>2.8</v>
      </c>
      <c r="B51" s="11">
        <f t="shared" si="9"/>
        <v>315</v>
      </c>
      <c r="C51" s="5">
        <v>316.0</v>
      </c>
      <c r="D51" s="6">
        <v>3.2</v>
      </c>
      <c r="E51" s="7">
        <f t="shared" si="1"/>
        <v>1.0112</v>
      </c>
      <c r="F51" s="8">
        <f t="shared" si="2"/>
        <v>1.0112</v>
      </c>
      <c r="G51" s="8">
        <f t="shared" si="3"/>
        <v>1479.241143</v>
      </c>
      <c r="H51" s="8">
        <f t="shared" si="4"/>
        <v>9.0285715</v>
      </c>
      <c r="I51" s="7">
        <v>1.21</v>
      </c>
      <c r="J51" s="9">
        <f t="shared" si="5"/>
        <v>3423.037355</v>
      </c>
      <c r="K51" s="10">
        <f t="shared" si="6"/>
        <v>15.05129368</v>
      </c>
    </row>
    <row r="52" ht="22.5" customHeight="1">
      <c r="A52" s="5">
        <v>2.8</v>
      </c>
      <c r="B52" s="11">
        <f t="shared" si="9"/>
        <v>336</v>
      </c>
      <c r="C52" s="5">
        <v>337.0</v>
      </c>
      <c r="D52" s="6">
        <v>3.2</v>
      </c>
      <c r="E52" s="7">
        <f t="shared" si="1"/>
        <v>1.0784</v>
      </c>
      <c r="F52" s="8">
        <f t="shared" si="2"/>
        <v>1.0784</v>
      </c>
      <c r="G52" s="8">
        <f t="shared" si="3"/>
        <v>1577.545143</v>
      </c>
      <c r="H52" s="8">
        <f t="shared" si="4"/>
        <v>9.628571505</v>
      </c>
      <c r="I52" s="7">
        <v>1.21</v>
      </c>
      <c r="J52" s="9">
        <f t="shared" si="5"/>
        <v>3650.517686</v>
      </c>
      <c r="K52" s="10">
        <f t="shared" si="6"/>
        <v>16.05153788</v>
      </c>
    </row>
    <row r="53" ht="22.5" customHeight="1">
      <c r="A53" s="12">
        <v>2.7</v>
      </c>
      <c r="B53" s="12">
        <v>0.0</v>
      </c>
      <c r="C53" s="12">
        <v>1.06</v>
      </c>
      <c r="D53" s="13">
        <v>3.2</v>
      </c>
      <c r="E53" s="14">
        <f t="shared" si="1"/>
        <v>0.003392</v>
      </c>
      <c r="F53" s="14">
        <f t="shared" si="2"/>
        <v>0.003392</v>
      </c>
      <c r="G53" s="15">
        <f t="shared" si="3"/>
        <v>5.14578963</v>
      </c>
      <c r="H53" s="15">
        <f t="shared" si="4"/>
        <v>0.03140740766</v>
      </c>
      <c r="I53" s="14">
        <v>1.21</v>
      </c>
      <c r="J53" s="9">
        <f t="shared" si="5"/>
        <v>11.4823405</v>
      </c>
      <c r="K53" s="10">
        <f t="shared" si="6"/>
        <v>0.05048851677</v>
      </c>
    </row>
    <row r="54" ht="22.5" customHeight="1">
      <c r="A54" s="12">
        <v>2.7</v>
      </c>
      <c r="B54" s="12">
        <v>21.0</v>
      </c>
      <c r="C54" s="12">
        <v>20.7</v>
      </c>
      <c r="D54" s="13">
        <v>3.2</v>
      </c>
      <c r="E54" s="14">
        <f t="shared" si="1"/>
        <v>0.06624</v>
      </c>
      <c r="F54" s="14">
        <f t="shared" si="2"/>
        <v>0.06624</v>
      </c>
      <c r="G54" s="15">
        <f t="shared" si="3"/>
        <v>100.4885333</v>
      </c>
      <c r="H54" s="15">
        <f t="shared" si="4"/>
        <v>0.6133333382</v>
      </c>
      <c r="I54" s="14">
        <v>1.21</v>
      </c>
      <c r="J54" s="9">
        <f t="shared" si="5"/>
        <v>224.2306116</v>
      </c>
      <c r="K54" s="10">
        <f t="shared" si="6"/>
        <v>0.9859549974</v>
      </c>
    </row>
    <row r="55" ht="22.5" customHeight="1">
      <c r="A55" s="12">
        <v>2.7</v>
      </c>
      <c r="B55" s="16">
        <f t="shared" ref="B55:B69" si="10">B54+21</f>
        <v>42</v>
      </c>
      <c r="C55" s="12">
        <v>41.7</v>
      </c>
      <c r="D55" s="13">
        <v>3.2</v>
      </c>
      <c r="E55" s="14">
        <f t="shared" si="1"/>
        <v>0.13344</v>
      </c>
      <c r="F55" s="14">
        <f t="shared" si="2"/>
        <v>0.13344</v>
      </c>
      <c r="G55" s="15">
        <f t="shared" si="3"/>
        <v>202.4334222</v>
      </c>
      <c r="H55" s="15">
        <f t="shared" si="4"/>
        <v>1.235555565</v>
      </c>
      <c r="I55" s="14">
        <v>1.21</v>
      </c>
      <c r="J55" s="9">
        <f t="shared" si="5"/>
        <v>451.7109421</v>
      </c>
      <c r="K55" s="10">
        <f t="shared" si="6"/>
        <v>1.986199198</v>
      </c>
    </row>
    <row r="56" ht="22.5" customHeight="1">
      <c r="A56" s="12">
        <v>2.7</v>
      </c>
      <c r="B56" s="16">
        <f t="shared" si="10"/>
        <v>63</v>
      </c>
      <c r="C56" s="12">
        <v>62.8</v>
      </c>
      <c r="D56" s="13">
        <v>3.2</v>
      </c>
      <c r="E56" s="14">
        <f t="shared" si="1"/>
        <v>0.20096</v>
      </c>
      <c r="F56" s="14">
        <f t="shared" si="2"/>
        <v>0.20096</v>
      </c>
      <c r="G56" s="15">
        <f t="shared" si="3"/>
        <v>304.863763</v>
      </c>
      <c r="H56" s="15">
        <f t="shared" si="4"/>
        <v>1.860740756</v>
      </c>
      <c r="I56" s="14">
        <v>1.21</v>
      </c>
      <c r="J56" s="9">
        <f t="shared" si="5"/>
        <v>680.2745124</v>
      </c>
      <c r="K56" s="10">
        <f t="shared" si="6"/>
        <v>2.991206465</v>
      </c>
    </row>
    <row r="57" ht="22.5" customHeight="1">
      <c r="A57" s="12">
        <v>2.7</v>
      </c>
      <c r="B57" s="16">
        <f t="shared" si="10"/>
        <v>84</v>
      </c>
      <c r="C57" s="12">
        <v>83.9</v>
      </c>
      <c r="D57" s="13">
        <v>3.2</v>
      </c>
      <c r="E57" s="14">
        <f t="shared" si="1"/>
        <v>0.26848</v>
      </c>
      <c r="F57" s="14">
        <f t="shared" si="2"/>
        <v>0.26848</v>
      </c>
      <c r="G57" s="15">
        <f t="shared" si="3"/>
        <v>407.2941037</v>
      </c>
      <c r="H57" s="15">
        <f t="shared" si="4"/>
        <v>2.485925946</v>
      </c>
      <c r="I57" s="14">
        <v>1.21</v>
      </c>
      <c r="J57" s="9">
        <f t="shared" si="5"/>
        <v>908.8380826</v>
      </c>
      <c r="K57" s="10">
        <f t="shared" si="6"/>
        <v>3.996213733</v>
      </c>
    </row>
    <row r="58" ht="22.5" customHeight="1">
      <c r="A58" s="12">
        <v>2.7</v>
      </c>
      <c r="B58" s="16">
        <f t="shared" si="10"/>
        <v>105</v>
      </c>
      <c r="C58" s="12">
        <v>105.0</v>
      </c>
      <c r="D58" s="13">
        <v>3.2</v>
      </c>
      <c r="E58" s="14">
        <f t="shared" si="1"/>
        <v>0.336</v>
      </c>
      <c r="F58" s="15">
        <f t="shared" si="2"/>
        <v>0.336</v>
      </c>
      <c r="G58" s="15">
        <f t="shared" si="3"/>
        <v>509.7244444</v>
      </c>
      <c r="H58" s="15">
        <f t="shared" si="4"/>
        <v>3.111111136</v>
      </c>
      <c r="I58" s="14">
        <v>1.21</v>
      </c>
      <c r="J58" s="9">
        <f t="shared" si="5"/>
        <v>1137.401653</v>
      </c>
      <c r="K58" s="10">
        <f t="shared" si="6"/>
        <v>5.001221001</v>
      </c>
    </row>
    <row r="59" ht="22.5" customHeight="1">
      <c r="A59" s="12">
        <v>2.7</v>
      </c>
      <c r="B59" s="16">
        <f t="shared" si="10"/>
        <v>126</v>
      </c>
      <c r="C59" s="12">
        <v>126.0</v>
      </c>
      <c r="D59" s="13">
        <v>3.2</v>
      </c>
      <c r="E59" s="14">
        <f t="shared" si="1"/>
        <v>0.4032</v>
      </c>
      <c r="F59" s="15">
        <f t="shared" si="2"/>
        <v>0.4032</v>
      </c>
      <c r="G59" s="15">
        <f t="shared" si="3"/>
        <v>611.6693333</v>
      </c>
      <c r="H59" s="15">
        <f t="shared" si="4"/>
        <v>3.733333363</v>
      </c>
      <c r="I59" s="14">
        <v>1.21</v>
      </c>
      <c r="J59" s="9">
        <f t="shared" si="5"/>
        <v>1364.881983</v>
      </c>
      <c r="K59" s="10">
        <f t="shared" si="6"/>
        <v>6.001465201</v>
      </c>
    </row>
    <row r="60" ht="22.5" customHeight="1">
      <c r="A60" s="12">
        <v>2.7</v>
      </c>
      <c r="B60" s="16">
        <f t="shared" si="10"/>
        <v>147</v>
      </c>
      <c r="C60" s="12">
        <v>147.0</v>
      </c>
      <c r="D60" s="13">
        <v>3.2</v>
      </c>
      <c r="E60" s="14">
        <f t="shared" si="1"/>
        <v>0.4704</v>
      </c>
      <c r="F60" s="15">
        <f t="shared" si="2"/>
        <v>0.4704</v>
      </c>
      <c r="G60" s="15">
        <f t="shared" si="3"/>
        <v>713.6142222</v>
      </c>
      <c r="H60" s="15">
        <f t="shared" si="4"/>
        <v>4.35555559</v>
      </c>
      <c r="I60" s="14">
        <v>1.21</v>
      </c>
      <c r="J60" s="9">
        <f t="shared" si="5"/>
        <v>1592.362314</v>
      </c>
      <c r="K60" s="10">
        <f t="shared" si="6"/>
        <v>7.001709402</v>
      </c>
    </row>
    <row r="61" ht="22.5" customHeight="1">
      <c r="A61" s="12">
        <v>2.7</v>
      </c>
      <c r="B61" s="16">
        <f t="shared" si="10"/>
        <v>168</v>
      </c>
      <c r="C61" s="12">
        <v>168.0</v>
      </c>
      <c r="D61" s="13">
        <v>3.2</v>
      </c>
      <c r="E61" s="14">
        <f t="shared" si="1"/>
        <v>0.5376</v>
      </c>
      <c r="F61" s="15">
        <f t="shared" si="2"/>
        <v>0.5376</v>
      </c>
      <c r="G61" s="15">
        <f t="shared" si="3"/>
        <v>815.5591111</v>
      </c>
      <c r="H61" s="15">
        <f t="shared" si="4"/>
        <v>4.977777817</v>
      </c>
      <c r="I61" s="14">
        <v>1.21</v>
      </c>
      <c r="J61" s="9">
        <f t="shared" si="5"/>
        <v>1819.842645</v>
      </c>
      <c r="K61" s="10">
        <f t="shared" si="6"/>
        <v>8.001953602</v>
      </c>
    </row>
    <row r="62" ht="22.5" customHeight="1">
      <c r="A62" s="12">
        <v>2.7</v>
      </c>
      <c r="B62" s="16">
        <f t="shared" si="10"/>
        <v>189</v>
      </c>
      <c r="C62" s="12">
        <v>189.0</v>
      </c>
      <c r="D62" s="13">
        <v>3.2</v>
      </c>
      <c r="E62" s="14">
        <f t="shared" si="1"/>
        <v>0.6048</v>
      </c>
      <c r="F62" s="15">
        <f t="shared" si="2"/>
        <v>0.6048</v>
      </c>
      <c r="G62" s="15">
        <f t="shared" si="3"/>
        <v>917.504</v>
      </c>
      <c r="H62" s="15">
        <f t="shared" si="4"/>
        <v>5.600000044</v>
      </c>
      <c r="I62" s="14">
        <v>1.21</v>
      </c>
      <c r="J62" s="9">
        <f t="shared" si="5"/>
        <v>2047.322975</v>
      </c>
      <c r="K62" s="10">
        <f t="shared" si="6"/>
        <v>9.002197802</v>
      </c>
    </row>
    <row r="63" ht="22.5" customHeight="1">
      <c r="A63" s="12">
        <v>2.7</v>
      </c>
      <c r="B63" s="16">
        <f t="shared" si="10"/>
        <v>210</v>
      </c>
      <c r="C63" s="12">
        <v>210.0</v>
      </c>
      <c r="D63" s="13">
        <v>3.2</v>
      </c>
      <c r="E63" s="14">
        <f t="shared" si="1"/>
        <v>0.672</v>
      </c>
      <c r="F63" s="15">
        <f t="shared" si="2"/>
        <v>0.672</v>
      </c>
      <c r="G63" s="15">
        <f t="shared" si="3"/>
        <v>1019.448889</v>
      </c>
      <c r="H63" s="15">
        <f t="shared" si="4"/>
        <v>6.222222272</v>
      </c>
      <c r="I63" s="14">
        <v>1.21</v>
      </c>
      <c r="J63" s="9">
        <f t="shared" si="5"/>
        <v>2274.803306</v>
      </c>
      <c r="K63" s="10">
        <f t="shared" si="6"/>
        <v>10.002442</v>
      </c>
    </row>
    <row r="64" ht="22.5" customHeight="1">
      <c r="A64" s="12">
        <v>2.7</v>
      </c>
      <c r="B64" s="16">
        <f t="shared" si="10"/>
        <v>231</v>
      </c>
      <c r="C64" s="12">
        <v>231.0</v>
      </c>
      <c r="D64" s="13">
        <v>3.2</v>
      </c>
      <c r="E64" s="14">
        <f t="shared" si="1"/>
        <v>0.7392</v>
      </c>
      <c r="F64" s="15">
        <f t="shared" si="2"/>
        <v>0.7392</v>
      </c>
      <c r="G64" s="15">
        <f t="shared" si="3"/>
        <v>1121.393778</v>
      </c>
      <c r="H64" s="15">
        <f t="shared" si="4"/>
        <v>6.844444499</v>
      </c>
      <c r="I64" s="14">
        <v>1.21</v>
      </c>
      <c r="J64" s="9">
        <f t="shared" si="5"/>
        <v>2502.283636</v>
      </c>
      <c r="K64" s="10">
        <f t="shared" si="6"/>
        <v>11.0026862</v>
      </c>
    </row>
    <row r="65" ht="22.5" customHeight="1">
      <c r="A65" s="12">
        <v>2.7</v>
      </c>
      <c r="B65" s="16">
        <f t="shared" si="10"/>
        <v>252</v>
      </c>
      <c r="C65" s="12">
        <v>252.0</v>
      </c>
      <c r="D65" s="13">
        <v>3.2</v>
      </c>
      <c r="E65" s="14">
        <f t="shared" si="1"/>
        <v>0.8064</v>
      </c>
      <c r="F65" s="15">
        <f t="shared" si="2"/>
        <v>0.8064</v>
      </c>
      <c r="G65" s="15">
        <f t="shared" si="3"/>
        <v>1223.338667</v>
      </c>
      <c r="H65" s="15">
        <f t="shared" si="4"/>
        <v>7.466666726</v>
      </c>
      <c r="I65" s="14">
        <v>1.21</v>
      </c>
      <c r="J65" s="9">
        <f t="shared" si="5"/>
        <v>2729.763967</v>
      </c>
      <c r="K65" s="10">
        <f t="shared" si="6"/>
        <v>12.0029304</v>
      </c>
    </row>
    <row r="66" ht="22.5" customHeight="1">
      <c r="A66" s="12">
        <v>2.7</v>
      </c>
      <c r="B66" s="16">
        <f t="shared" si="10"/>
        <v>273</v>
      </c>
      <c r="C66" s="12">
        <v>273.0</v>
      </c>
      <c r="D66" s="13">
        <v>3.2</v>
      </c>
      <c r="E66" s="14">
        <f t="shared" si="1"/>
        <v>0.8736</v>
      </c>
      <c r="F66" s="15">
        <f t="shared" si="2"/>
        <v>0.8736</v>
      </c>
      <c r="G66" s="15">
        <f t="shared" si="3"/>
        <v>1325.283556</v>
      </c>
      <c r="H66" s="15">
        <f t="shared" si="4"/>
        <v>8.088888953</v>
      </c>
      <c r="I66" s="14">
        <v>1.21</v>
      </c>
      <c r="J66" s="9">
        <f t="shared" si="5"/>
        <v>2957.244298</v>
      </c>
      <c r="K66" s="10">
        <f t="shared" si="6"/>
        <v>13.0031746</v>
      </c>
    </row>
    <row r="67" ht="22.5" customHeight="1">
      <c r="A67" s="12">
        <v>2.7</v>
      </c>
      <c r="B67" s="16">
        <f t="shared" si="10"/>
        <v>294</v>
      </c>
      <c r="C67" s="12">
        <v>295.0</v>
      </c>
      <c r="D67" s="13">
        <v>3.2</v>
      </c>
      <c r="E67" s="14">
        <f t="shared" si="1"/>
        <v>0.944</v>
      </c>
      <c r="F67" s="15">
        <f t="shared" si="2"/>
        <v>0.944</v>
      </c>
      <c r="G67" s="15">
        <f t="shared" si="3"/>
        <v>1432.082963</v>
      </c>
      <c r="H67" s="15">
        <f t="shared" si="4"/>
        <v>8.74074081</v>
      </c>
      <c r="I67" s="14">
        <v>1.21</v>
      </c>
      <c r="J67" s="9">
        <f t="shared" si="5"/>
        <v>3195.557025</v>
      </c>
      <c r="K67" s="10">
        <f t="shared" si="6"/>
        <v>14.05104948</v>
      </c>
    </row>
    <row r="68" ht="22.5" customHeight="1">
      <c r="A68" s="12">
        <v>2.7</v>
      </c>
      <c r="B68" s="16">
        <f t="shared" si="10"/>
        <v>315</v>
      </c>
      <c r="C68" s="12">
        <v>316.0</v>
      </c>
      <c r="D68" s="13">
        <v>3.2</v>
      </c>
      <c r="E68" s="14">
        <f t="shared" si="1"/>
        <v>1.0112</v>
      </c>
      <c r="F68" s="15">
        <f t="shared" si="2"/>
        <v>1.0112</v>
      </c>
      <c r="G68" s="15">
        <f t="shared" si="3"/>
        <v>1534.027852</v>
      </c>
      <c r="H68" s="15">
        <f t="shared" si="4"/>
        <v>9.362963037</v>
      </c>
      <c r="I68" s="14">
        <v>1.21</v>
      </c>
      <c r="J68" s="9">
        <f t="shared" si="5"/>
        <v>3423.037355</v>
      </c>
      <c r="K68" s="10">
        <f t="shared" si="6"/>
        <v>15.05129368</v>
      </c>
    </row>
    <row r="69" ht="22.5" customHeight="1">
      <c r="A69" s="12">
        <v>2.7</v>
      </c>
      <c r="B69" s="16">
        <f t="shared" si="10"/>
        <v>336</v>
      </c>
      <c r="C69" s="12">
        <v>337.0</v>
      </c>
      <c r="D69" s="13">
        <v>3.2</v>
      </c>
      <c r="E69" s="14">
        <f t="shared" si="1"/>
        <v>1.0784</v>
      </c>
      <c r="F69" s="15">
        <f t="shared" si="2"/>
        <v>1.0784</v>
      </c>
      <c r="G69" s="15">
        <f t="shared" si="3"/>
        <v>1635.972741</v>
      </c>
      <c r="H69" s="15">
        <f t="shared" si="4"/>
        <v>9.985185264</v>
      </c>
      <c r="I69" s="14">
        <v>1.21</v>
      </c>
      <c r="J69" s="9">
        <f t="shared" si="5"/>
        <v>3650.517686</v>
      </c>
      <c r="K69" s="10">
        <f t="shared" si="6"/>
        <v>16.05153788</v>
      </c>
    </row>
    <row r="70" ht="22.5" customHeight="1">
      <c r="A70" s="5">
        <v>2.6</v>
      </c>
      <c r="B70" s="5">
        <v>0.0</v>
      </c>
      <c r="C70" s="5">
        <v>1.06</v>
      </c>
      <c r="D70" s="6">
        <v>3.2</v>
      </c>
      <c r="E70" s="7">
        <f t="shared" si="1"/>
        <v>0.003392</v>
      </c>
      <c r="F70" s="7">
        <f t="shared" si="2"/>
        <v>0.003392</v>
      </c>
      <c r="G70" s="8">
        <f t="shared" si="3"/>
        <v>5.343704615</v>
      </c>
      <c r="H70" s="8">
        <f t="shared" si="4"/>
        <v>0.03261538487</v>
      </c>
      <c r="I70" s="7">
        <v>1.21</v>
      </c>
      <c r="J70" s="9">
        <f t="shared" si="5"/>
        <v>11.4823405</v>
      </c>
      <c r="K70" s="10">
        <f t="shared" si="6"/>
        <v>0.05048851677</v>
      </c>
    </row>
    <row r="71" ht="22.5" customHeight="1">
      <c r="A71" s="5">
        <v>2.6</v>
      </c>
      <c r="B71" s="5">
        <v>21.0</v>
      </c>
      <c r="C71" s="5">
        <v>20.7</v>
      </c>
      <c r="D71" s="6">
        <v>3.2</v>
      </c>
      <c r="E71" s="7">
        <f t="shared" si="1"/>
        <v>0.06624</v>
      </c>
      <c r="F71" s="7">
        <f t="shared" si="2"/>
        <v>0.06624</v>
      </c>
      <c r="G71" s="8">
        <f t="shared" si="3"/>
        <v>104.3534769</v>
      </c>
      <c r="H71" s="8">
        <f t="shared" si="4"/>
        <v>0.636923082</v>
      </c>
      <c r="I71" s="7">
        <v>1.21</v>
      </c>
      <c r="J71" s="9">
        <f t="shared" si="5"/>
        <v>224.2306116</v>
      </c>
      <c r="K71" s="10">
        <f t="shared" si="6"/>
        <v>0.9859549974</v>
      </c>
    </row>
    <row r="72" ht="22.5" customHeight="1">
      <c r="A72" s="5">
        <v>2.6</v>
      </c>
      <c r="B72" s="11">
        <f t="shared" ref="B72:B86" si="11">B71+21</f>
        <v>42</v>
      </c>
      <c r="C72" s="5">
        <v>41.7</v>
      </c>
      <c r="D72" s="6">
        <v>3.2</v>
      </c>
      <c r="E72" s="7">
        <f t="shared" si="1"/>
        <v>0.13344</v>
      </c>
      <c r="F72" s="7">
        <f t="shared" si="2"/>
        <v>0.13344</v>
      </c>
      <c r="G72" s="8">
        <f t="shared" si="3"/>
        <v>210.2193231</v>
      </c>
      <c r="H72" s="8">
        <f t="shared" si="4"/>
        <v>1.283076933</v>
      </c>
      <c r="I72" s="7">
        <v>1.21</v>
      </c>
      <c r="J72" s="9">
        <f t="shared" si="5"/>
        <v>451.7109421</v>
      </c>
      <c r="K72" s="10">
        <f t="shared" si="6"/>
        <v>1.986199198</v>
      </c>
    </row>
    <row r="73" ht="22.5" customHeight="1">
      <c r="A73" s="5">
        <v>2.6</v>
      </c>
      <c r="B73" s="11">
        <f t="shared" si="11"/>
        <v>63</v>
      </c>
      <c r="C73" s="5">
        <v>62.8</v>
      </c>
      <c r="D73" s="6">
        <v>3.2</v>
      </c>
      <c r="E73" s="7">
        <f t="shared" si="1"/>
        <v>0.20096</v>
      </c>
      <c r="F73" s="7">
        <f t="shared" si="2"/>
        <v>0.20096</v>
      </c>
      <c r="G73" s="8">
        <f t="shared" si="3"/>
        <v>316.5892923</v>
      </c>
      <c r="H73" s="8">
        <f t="shared" si="4"/>
        <v>1.932307708</v>
      </c>
      <c r="I73" s="7">
        <v>1.21</v>
      </c>
      <c r="J73" s="9">
        <f t="shared" si="5"/>
        <v>680.2745124</v>
      </c>
      <c r="K73" s="10">
        <f t="shared" si="6"/>
        <v>2.991206465</v>
      </c>
    </row>
    <row r="74" ht="22.5" customHeight="1">
      <c r="A74" s="5">
        <v>2.6</v>
      </c>
      <c r="B74" s="11">
        <f t="shared" si="11"/>
        <v>84</v>
      </c>
      <c r="C74" s="5">
        <v>83.9</v>
      </c>
      <c r="D74" s="6">
        <v>3.2</v>
      </c>
      <c r="E74" s="7">
        <f t="shared" si="1"/>
        <v>0.26848</v>
      </c>
      <c r="F74" s="7">
        <f t="shared" si="2"/>
        <v>0.26848</v>
      </c>
      <c r="G74" s="8">
        <f t="shared" si="3"/>
        <v>422.9592615</v>
      </c>
      <c r="H74" s="8">
        <f t="shared" si="4"/>
        <v>2.581538482</v>
      </c>
      <c r="I74" s="7">
        <v>1.21</v>
      </c>
      <c r="J74" s="9">
        <f t="shared" si="5"/>
        <v>908.8380826</v>
      </c>
      <c r="K74" s="10">
        <f t="shared" si="6"/>
        <v>3.996213733</v>
      </c>
    </row>
    <row r="75" ht="22.5" customHeight="1">
      <c r="A75" s="5">
        <v>2.6</v>
      </c>
      <c r="B75" s="11">
        <f t="shared" si="11"/>
        <v>105</v>
      </c>
      <c r="C75" s="5">
        <v>105.0</v>
      </c>
      <c r="D75" s="6">
        <v>3.2</v>
      </c>
      <c r="E75" s="7">
        <f t="shared" si="1"/>
        <v>0.336</v>
      </c>
      <c r="F75" s="8">
        <f t="shared" si="2"/>
        <v>0.336</v>
      </c>
      <c r="G75" s="8">
        <f t="shared" si="3"/>
        <v>529.3292308</v>
      </c>
      <c r="H75" s="8">
        <f t="shared" si="4"/>
        <v>3.230769256</v>
      </c>
      <c r="I75" s="7">
        <v>1.21</v>
      </c>
      <c r="J75" s="9">
        <f t="shared" si="5"/>
        <v>1137.401653</v>
      </c>
      <c r="K75" s="10">
        <f t="shared" si="6"/>
        <v>5.001221001</v>
      </c>
    </row>
    <row r="76" ht="22.5" customHeight="1">
      <c r="A76" s="5">
        <v>2.6</v>
      </c>
      <c r="B76" s="11">
        <f t="shared" si="11"/>
        <v>126</v>
      </c>
      <c r="C76" s="5">
        <v>126.0</v>
      </c>
      <c r="D76" s="6">
        <v>3.2</v>
      </c>
      <c r="E76" s="7">
        <f t="shared" si="1"/>
        <v>0.4032</v>
      </c>
      <c r="F76" s="8">
        <f t="shared" si="2"/>
        <v>0.4032</v>
      </c>
      <c r="G76" s="8">
        <f t="shared" si="3"/>
        <v>635.1950769</v>
      </c>
      <c r="H76" s="8">
        <f t="shared" si="4"/>
        <v>3.876923108</v>
      </c>
      <c r="I76" s="7">
        <v>1.21</v>
      </c>
      <c r="J76" s="9">
        <f t="shared" si="5"/>
        <v>1364.881983</v>
      </c>
      <c r="K76" s="10">
        <f t="shared" si="6"/>
        <v>6.001465201</v>
      </c>
    </row>
    <row r="77" ht="22.5" customHeight="1">
      <c r="A77" s="5">
        <v>2.6</v>
      </c>
      <c r="B77" s="11">
        <f t="shared" si="11"/>
        <v>147</v>
      </c>
      <c r="C77" s="5">
        <v>147.0</v>
      </c>
      <c r="D77" s="6">
        <v>3.2</v>
      </c>
      <c r="E77" s="7">
        <f t="shared" si="1"/>
        <v>0.4704</v>
      </c>
      <c r="F77" s="8">
        <f t="shared" si="2"/>
        <v>0.4704</v>
      </c>
      <c r="G77" s="8">
        <f t="shared" si="3"/>
        <v>741.0609231</v>
      </c>
      <c r="H77" s="8">
        <f t="shared" si="4"/>
        <v>4.523076959</v>
      </c>
      <c r="I77" s="7">
        <v>1.21</v>
      </c>
      <c r="J77" s="9">
        <f t="shared" si="5"/>
        <v>1592.362314</v>
      </c>
      <c r="K77" s="10">
        <f t="shared" si="6"/>
        <v>7.001709402</v>
      </c>
    </row>
    <row r="78" ht="22.5" customHeight="1">
      <c r="A78" s="5">
        <v>2.6</v>
      </c>
      <c r="B78" s="11">
        <f t="shared" si="11"/>
        <v>168</v>
      </c>
      <c r="C78" s="5">
        <v>168.0</v>
      </c>
      <c r="D78" s="6">
        <v>3.2</v>
      </c>
      <c r="E78" s="7">
        <f t="shared" si="1"/>
        <v>0.5376</v>
      </c>
      <c r="F78" s="8">
        <f t="shared" si="2"/>
        <v>0.5376</v>
      </c>
      <c r="G78" s="8">
        <f t="shared" si="3"/>
        <v>846.9267692</v>
      </c>
      <c r="H78" s="8">
        <f t="shared" si="4"/>
        <v>5.16923081</v>
      </c>
      <c r="I78" s="7">
        <v>1.21</v>
      </c>
      <c r="J78" s="9">
        <f t="shared" si="5"/>
        <v>1819.842645</v>
      </c>
      <c r="K78" s="10">
        <f t="shared" si="6"/>
        <v>8.001953602</v>
      </c>
    </row>
    <row r="79" ht="22.5" customHeight="1">
      <c r="A79" s="5">
        <v>2.6</v>
      </c>
      <c r="B79" s="11">
        <f t="shared" si="11"/>
        <v>189</v>
      </c>
      <c r="C79" s="5">
        <v>189.0</v>
      </c>
      <c r="D79" s="6">
        <v>3.2</v>
      </c>
      <c r="E79" s="7">
        <f t="shared" si="1"/>
        <v>0.6048</v>
      </c>
      <c r="F79" s="8">
        <f t="shared" si="2"/>
        <v>0.6048</v>
      </c>
      <c r="G79" s="8">
        <f t="shared" si="3"/>
        <v>952.7926154</v>
      </c>
      <c r="H79" s="8">
        <f t="shared" si="4"/>
        <v>5.815384662</v>
      </c>
      <c r="I79" s="7">
        <v>1.21</v>
      </c>
      <c r="J79" s="9">
        <f t="shared" si="5"/>
        <v>2047.322975</v>
      </c>
      <c r="K79" s="10">
        <f t="shared" si="6"/>
        <v>9.002197802</v>
      </c>
    </row>
    <row r="80" ht="22.5" customHeight="1">
      <c r="A80" s="5">
        <v>2.6</v>
      </c>
      <c r="B80" s="11">
        <f t="shared" si="11"/>
        <v>210</v>
      </c>
      <c r="C80" s="5">
        <v>210.0</v>
      </c>
      <c r="D80" s="6">
        <v>3.2</v>
      </c>
      <c r="E80" s="7">
        <f t="shared" si="1"/>
        <v>0.672</v>
      </c>
      <c r="F80" s="8">
        <f t="shared" si="2"/>
        <v>0.672</v>
      </c>
      <c r="G80" s="8">
        <f t="shared" si="3"/>
        <v>1058.658462</v>
      </c>
      <c r="H80" s="8">
        <f t="shared" si="4"/>
        <v>6.461538513</v>
      </c>
      <c r="I80" s="7">
        <v>1.21</v>
      </c>
      <c r="J80" s="9">
        <f t="shared" si="5"/>
        <v>2274.803306</v>
      </c>
      <c r="K80" s="10">
        <f t="shared" si="6"/>
        <v>10.002442</v>
      </c>
    </row>
    <row r="81" ht="22.5" customHeight="1">
      <c r="A81" s="5">
        <v>2.6</v>
      </c>
      <c r="B81" s="11">
        <f t="shared" si="11"/>
        <v>231</v>
      </c>
      <c r="C81" s="5">
        <v>231.0</v>
      </c>
      <c r="D81" s="6">
        <v>3.2</v>
      </c>
      <c r="E81" s="7">
        <f t="shared" si="1"/>
        <v>0.7392</v>
      </c>
      <c r="F81" s="8">
        <f t="shared" si="2"/>
        <v>0.7392</v>
      </c>
      <c r="G81" s="8">
        <f t="shared" si="3"/>
        <v>1164.524308</v>
      </c>
      <c r="H81" s="8">
        <f t="shared" si="4"/>
        <v>7.107692364</v>
      </c>
      <c r="I81" s="7">
        <v>1.21</v>
      </c>
      <c r="J81" s="9">
        <f t="shared" si="5"/>
        <v>2502.283636</v>
      </c>
      <c r="K81" s="10">
        <f t="shared" si="6"/>
        <v>11.0026862</v>
      </c>
    </row>
    <row r="82" ht="22.5" customHeight="1">
      <c r="A82" s="5">
        <v>2.6</v>
      </c>
      <c r="B82" s="11">
        <f t="shared" si="11"/>
        <v>252</v>
      </c>
      <c r="C82" s="5">
        <v>252.0</v>
      </c>
      <c r="D82" s="6">
        <v>3.2</v>
      </c>
      <c r="E82" s="7">
        <f t="shared" si="1"/>
        <v>0.8064</v>
      </c>
      <c r="F82" s="8">
        <f t="shared" si="2"/>
        <v>0.8064</v>
      </c>
      <c r="G82" s="8">
        <f t="shared" si="3"/>
        <v>1270.390154</v>
      </c>
      <c r="H82" s="8">
        <f t="shared" si="4"/>
        <v>7.753846215</v>
      </c>
      <c r="I82" s="7">
        <v>1.21</v>
      </c>
      <c r="J82" s="9">
        <f t="shared" si="5"/>
        <v>2729.763967</v>
      </c>
      <c r="K82" s="10">
        <f t="shared" si="6"/>
        <v>12.0029304</v>
      </c>
    </row>
    <row r="83" ht="22.5" customHeight="1">
      <c r="A83" s="5">
        <v>2.6</v>
      </c>
      <c r="B83" s="11">
        <f t="shared" si="11"/>
        <v>273</v>
      </c>
      <c r="C83" s="5">
        <v>273.0</v>
      </c>
      <c r="D83" s="6">
        <v>3.2</v>
      </c>
      <c r="E83" s="7">
        <f t="shared" si="1"/>
        <v>0.8736</v>
      </c>
      <c r="F83" s="8">
        <f t="shared" si="2"/>
        <v>0.8736</v>
      </c>
      <c r="G83" s="8">
        <f t="shared" si="3"/>
        <v>1376.256</v>
      </c>
      <c r="H83" s="8">
        <f t="shared" si="4"/>
        <v>8.400000067</v>
      </c>
      <c r="I83" s="7">
        <v>1.21</v>
      </c>
      <c r="J83" s="9">
        <f t="shared" si="5"/>
        <v>2957.244298</v>
      </c>
      <c r="K83" s="10">
        <f t="shared" si="6"/>
        <v>13.0031746</v>
      </c>
    </row>
    <row r="84" ht="22.5" customHeight="1">
      <c r="A84" s="5">
        <v>2.6</v>
      </c>
      <c r="B84" s="11">
        <f t="shared" si="11"/>
        <v>294</v>
      </c>
      <c r="C84" s="5">
        <v>295.0</v>
      </c>
      <c r="D84" s="6">
        <v>3.2</v>
      </c>
      <c r="E84" s="7">
        <f t="shared" si="1"/>
        <v>0.944</v>
      </c>
      <c r="F84" s="8">
        <f t="shared" si="2"/>
        <v>0.944</v>
      </c>
      <c r="G84" s="8">
        <f t="shared" si="3"/>
        <v>1487.163077</v>
      </c>
      <c r="H84" s="8">
        <f t="shared" si="4"/>
        <v>9.076923149</v>
      </c>
      <c r="I84" s="7">
        <v>1.21</v>
      </c>
      <c r="J84" s="9">
        <f t="shared" si="5"/>
        <v>3195.557025</v>
      </c>
      <c r="K84" s="10">
        <f t="shared" si="6"/>
        <v>14.05104948</v>
      </c>
    </row>
    <row r="85" ht="22.5" customHeight="1">
      <c r="A85" s="5">
        <v>2.6</v>
      </c>
      <c r="B85" s="11">
        <f t="shared" si="11"/>
        <v>315</v>
      </c>
      <c r="C85" s="5">
        <v>316.0</v>
      </c>
      <c r="D85" s="6">
        <v>3.2</v>
      </c>
      <c r="E85" s="7">
        <f t="shared" si="1"/>
        <v>1.0112</v>
      </c>
      <c r="F85" s="8">
        <f t="shared" si="2"/>
        <v>1.0112</v>
      </c>
      <c r="G85" s="8">
        <f t="shared" si="3"/>
        <v>1593.028923</v>
      </c>
      <c r="H85" s="8">
        <f t="shared" si="4"/>
        <v>9.723077</v>
      </c>
      <c r="I85" s="7">
        <v>1.21</v>
      </c>
      <c r="J85" s="9">
        <f t="shared" si="5"/>
        <v>3423.037355</v>
      </c>
      <c r="K85" s="10">
        <f t="shared" si="6"/>
        <v>15.05129368</v>
      </c>
    </row>
    <row r="86" ht="22.5" customHeight="1">
      <c r="A86" s="5">
        <v>2.6</v>
      </c>
      <c r="B86" s="11">
        <f t="shared" si="11"/>
        <v>336</v>
      </c>
      <c r="C86" s="5">
        <v>337.0</v>
      </c>
      <c r="D86" s="6">
        <v>3.2</v>
      </c>
      <c r="E86" s="7">
        <f t="shared" si="1"/>
        <v>1.0784</v>
      </c>
      <c r="F86" s="8">
        <f t="shared" si="2"/>
        <v>1.0784</v>
      </c>
      <c r="G86" s="8">
        <f t="shared" si="3"/>
        <v>1698.894769</v>
      </c>
      <c r="H86" s="8">
        <f t="shared" si="4"/>
        <v>10.36923085</v>
      </c>
      <c r="I86" s="7">
        <v>1.21</v>
      </c>
      <c r="J86" s="9">
        <f t="shared" si="5"/>
        <v>3650.517686</v>
      </c>
      <c r="K86" s="10">
        <f t="shared" si="6"/>
        <v>16.05153788</v>
      </c>
    </row>
    <row r="87" ht="22.5" customHeight="1">
      <c r="A87" s="12">
        <v>2.5</v>
      </c>
      <c r="B87" s="12">
        <v>0.0</v>
      </c>
      <c r="C87" s="12">
        <v>1.06</v>
      </c>
      <c r="D87" s="13">
        <v>3.2</v>
      </c>
      <c r="E87" s="14">
        <f t="shared" si="1"/>
        <v>0.003392</v>
      </c>
      <c r="F87" s="14">
        <f t="shared" si="2"/>
        <v>0.003392</v>
      </c>
      <c r="G87" s="15">
        <f t="shared" si="3"/>
        <v>5.5574528</v>
      </c>
      <c r="H87" s="15">
        <f t="shared" si="4"/>
        <v>0.03392000027</v>
      </c>
      <c r="I87" s="14">
        <v>1.21</v>
      </c>
      <c r="J87" s="9">
        <f t="shared" si="5"/>
        <v>11.4823405</v>
      </c>
      <c r="K87" s="10">
        <f t="shared" si="6"/>
        <v>0.05048851677</v>
      </c>
    </row>
    <row r="88" ht="22.5" customHeight="1">
      <c r="A88" s="12">
        <v>2.5</v>
      </c>
      <c r="B88" s="12">
        <v>21.0</v>
      </c>
      <c r="C88" s="12">
        <v>20.7</v>
      </c>
      <c r="D88" s="13">
        <v>3.2</v>
      </c>
      <c r="E88" s="14">
        <f t="shared" si="1"/>
        <v>0.06624</v>
      </c>
      <c r="F88" s="14">
        <f t="shared" si="2"/>
        <v>0.06624</v>
      </c>
      <c r="G88" s="15">
        <f t="shared" si="3"/>
        <v>108.527616</v>
      </c>
      <c r="H88" s="15">
        <f t="shared" si="4"/>
        <v>0.6624000053</v>
      </c>
      <c r="I88" s="14">
        <v>1.21</v>
      </c>
      <c r="J88" s="9">
        <f t="shared" si="5"/>
        <v>224.2306116</v>
      </c>
      <c r="K88" s="10">
        <f t="shared" si="6"/>
        <v>0.9859549974</v>
      </c>
    </row>
    <row r="89" ht="22.5" customHeight="1">
      <c r="A89" s="12">
        <v>2.5</v>
      </c>
      <c r="B89" s="16">
        <f t="shared" ref="B89:B103" si="12">B88+21</f>
        <v>42</v>
      </c>
      <c r="C89" s="12">
        <v>41.7</v>
      </c>
      <c r="D89" s="13">
        <v>3.2</v>
      </c>
      <c r="E89" s="14">
        <f t="shared" si="1"/>
        <v>0.13344</v>
      </c>
      <c r="F89" s="14">
        <f t="shared" si="2"/>
        <v>0.13344</v>
      </c>
      <c r="G89" s="15">
        <f t="shared" si="3"/>
        <v>218.628096</v>
      </c>
      <c r="H89" s="15">
        <f t="shared" si="4"/>
        <v>1.334400011</v>
      </c>
      <c r="I89" s="14">
        <v>1.21</v>
      </c>
      <c r="J89" s="9">
        <f t="shared" si="5"/>
        <v>451.7109421</v>
      </c>
      <c r="K89" s="10">
        <f t="shared" si="6"/>
        <v>1.986199198</v>
      </c>
    </row>
    <row r="90" ht="22.5" customHeight="1">
      <c r="A90" s="12">
        <v>2.5</v>
      </c>
      <c r="B90" s="16">
        <f t="shared" si="12"/>
        <v>63</v>
      </c>
      <c r="C90" s="12">
        <v>62.8</v>
      </c>
      <c r="D90" s="13">
        <v>3.2</v>
      </c>
      <c r="E90" s="14">
        <f t="shared" si="1"/>
        <v>0.20096</v>
      </c>
      <c r="F90" s="14">
        <f t="shared" si="2"/>
        <v>0.20096</v>
      </c>
      <c r="G90" s="15">
        <f t="shared" si="3"/>
        <v>329.252864</v>
      </c>
      <c r="H90" s="15">
        <f t="shared" si="4"/>
        <v>2.009600016</v>
      </c>
      <c r="I90" s="14">
        <v>1.21</v>
      </c>
      <c r="J90" s="9">
        <f t="shared" si="5"/>
        <v>680.2745124</v>
      </c>
      <c r="K90" s="10">
        <f t="shared" si="6"/>
        <v>2.991206465</v>
      </c>
    </row>
    <row r="91" ht="22.5" customHeight="1">
      <c r="A91" s="12">
        <v>2.5</v>
      </c>
      <c r="B91" s="16">
        <f t="shared" si="12"/>
        <v>84</v>
      </c>
      <c r="C91" s="12">
        <v>83.9</v>
      </c>
      <c r="D91" s="13">
        <v>3.2</v>
      </c>
      <c r="E91" s="14">
        <f t="shared" si="1"/>
        <v>0.26848</v>
      </c>
      <c r="F91" s="14">
        <f t="shared" si="2"/>
        <v>0.26848</v>
      </c>
      <c r="G91" s="15">
        <f t="shared" si="3"/>
        <v>439.877632</v>
      </c>
      <c r="H91" s="15">
        <f t="shared" si="4"/>
        <v>2.684800021</v>
      </c>
      <c r="I91" s="14">
        <v>1.21</v>
      </c>
      <c r="J91" s="9">
        <f t="shared" si="5"/>
        <v>908.8380826</v>
      </c>
      <c r="K91" s="10">
        <f t="shared" si="6"/>
        <v>3.996213733</v>
      </c>
    </row>
    <row r="92" ht="22.5" customHeight="1">
      <c r="A92" s="12">
        <v>2.5</v>
      </c>
      <c r="B92" s="16">
        <f t="shared" si="12"/>
        <v>105</v>
      </c>
      <c r="C92" s="12">
        <v>105.0</v>
      </c>
      <c r="D92" s="13">
        <v>3.2</v>
      </c>
      <c r="E92" s="14">
        <f t="shared" si="1"/>
        <v>0.336</v>
      </c>
      <c r="F92" s="15">
        <f t="shared" si="2"/>
        <v>0.336</v>
      </c>
      <c r="G92" s="15">
        <f t="shared" si="3"/>
        <v>550.5024</v>
      </c>
      <c r="H92" s="15">
        <f t="shared" si="4"/>
        <v>3.360000027</v>
      </c>
      <c r="I92" s="14">
        <v>1.21</v>
      </c>
      <c r="J92" s="9">
        <f t="shared" si="5"/>
        <v>1137.401653</v>
      </c>
      <c r="K92" s="10">
        <f t="shared" si="6"/>
        <v>5.001221001</v>
      </c>
    </row>
    <row r="93" ht="22.5" customHeight="1">
      <c r="A93" s="12">
        <v>2.5</v>
      </c>
      <c r="B93" s="16">
        <f t="shared" si="12"/>
        <v>126</v>
      </c>
      <c r="C93" s="12">
        <v>126.0</v>
      </c>
      <c r="D93" s="13">
        <v>3.2</v>
      </c>
      <c r="E93" s="14">
        <f t="shared" si="1"/>
        <v>0.4032</v>
      </c>
      <c r="F93" s="15">
        <f t="shared" si="2"/>
        <v>0.4032</v>
      </c>
      <c r="G93" s="15">
        <f t="shared" si="3"/>
        <v>660.60288</v>
      </c>
      <c r="H93" s="15">
        <f t="shared" si="4"/>
        <v>4.032000032</v>
      </c>
      <c r="I93" s="14">
        <v>1.21</v>
      </c>
      <c r="J93" s="9">
        <f t="shared" si="5"/>
        <v>1364.881983</v>
      </c>
      <c r="K93" s="10">
        <f t="shared" si="6"/>
        <v>6.001465201</v>
      </c>
    </row>
    <row r="94" ht="22.5" customHeight="1">
      <c r="A94" s="12">
        <v>2.5</v>
      </c>
      <c r="B94" s="16">
        <f t="shared" si="12"/>
        <v>147</v>
      </c>
      <c r="C94" s="12">
        <v>147.0</v>
      </c>
      <c r="D94" s="13">
        <v>3.2</v>
      </c>
      <c r="E94" s="14">
        <f t="shared" si="1"/>
        <v>0.4704</v>
      </c>
      <c r="F94" s="15">
        <f t="shared" si="2"/>
        <v>0.4704</v>
      </c>
      <c r="G94" s="15">
        <f t="shared" si="3"/>
        <v>770.70336</v>
      </c>
      <c r="H94" s="15">
        <f t="shared" si="4"/>
        <v>4.704000037</v>
      </c>
      <c r="I94" s="14">
        <v>1.21</v>
      </c>
      <c r="J94" s="9">
        <f t="shared" si="5"/>
        <v>1592.362314</v>
      </c>
      <c r="K94" s="10">
        <f t="shared" si="6"/>
        <v>7.001709402</v>
      </c>
    </row>
    <row r="95" ht="22.5" customHeight="1">
      <c r="A95" s="12">
        <v>2.5</v>
      </c>
      <c r="B95" s="16">
        <f t="shared" si="12"/>
        <v>168</v>
      </c>
      <c r="C95" s="12">
        <v>168.0</v>
      </c>
      <c r="D95" s="13">
        <v>3.2</v>
      </c>
      <c r="E95" s="14">
        <f t="shared" si="1"/>
        <v>0.5376</v>
      </c>
      <c r="F95" s="15">
        <f t="shared" si="2"/>
        <v>0.5376</v>
      </c>
      <c r="G95" s="15">
        <f t="shared" si="3"/>
        <v>880.80384</v>
      </c>
      <c r="H95" s="15">
        <f t="shared" si="4"/>
        <v>5.376000043</v>
      </c>
      <c r="I95" s="14">
        <v>1.21</v>
      </c>
      <c r="J95" s="9">
        <f t="shared" si="5"/>
        <v>1819.842645</v>
      </c>
      <c r="K95" s="10">
        <f t="shared" si="6"/>
        <v>8.001953602</v>
      </c>
    </row>
    <row r="96" ht="22.5" customHeight="1">
      <c r="A96" s="12">
        <v>2.5</v>
      </c>
      <c r="B96" s="16">
        <f t="shared" si="12"/>
        <v>189</v>
      </c>
      <c r="C96" s="12">
        <v>189.0</v>
      </c>
      <c r="D96" s="13">
        <v>3.2</v>
      </c>
      <c r="E96" s="14">
        <f t="shared" si="1"/>
        <v>0.6048</v>
      </c>
      <c r="F96" s="15">
        <f t="shared" si="2"/>
        <v>0.6048</v>
      </c>
      <c r="G96" s="15">
        <f t="shared" si="3"/>
        <v>990.90432</v>
      </c>
      <c r="H96" s="15">
        <f t="shared" si="4"/>
        <v>6.048000048</v>
      </c>
      <c r="I96" s="14">
        <v>1.21</v>
      </c>
      <c r="J96" s="9">
        <f t="shared" si="5"/>
        <v>2047.322975</v>
      </c>
      <c r="K96" s="10">
        <f t="shared" si="6"/>
        <v>9.002197802</v>
      </c>
    </row>
    <row r="97" ht="22.5" customHeight="1">
      <c r="A97" s="12">
        <v>2.5</v>
      </c>
      <c r="B97" s="16">
        <f t="shared" si="12"/>
        <v>210</v>
      </c>
      <c r="C97" s="12">
        <v>210.0</v>
      </c>
      <c r="D97" s="13">
        <v>3.2</v>
      </c>
      <c r="E97" s="14">
        <f t="shared" si="1"/>
        <v>0.672</v>
      </c>
      <c r="F97" s="15">
        <f t="shared" si="2"/>
        <v>0.672</v>
      </c>
      <c r="G97" s="15">
        <f t="shared" si="3"/>
        <v>1101.0048</v>
      </c>
      <c r="H97" s="15">
        <f t="shared" si="4"/>
        <v>6.720000053</v>
      </c>
      <c r="I97" s="14">
        <v>1.21</v>
      </c>
      <c r="J97" s="9">
        <f t="shared" si="5"/>
        <v>2274.803306</v>
      </c>
      <c r="K97" s="10">
        <f t="shared" si="6"/>
        <v>10.002442</v>
      </c>
    </row>
    <row r="98" ht="22.5" customHeight="1">
      <c r="A98" s="12">
        <v>2.5</v>
      </c>
      <c r="B98" s="16">
        <f t="shared" si="12"/>
        <v>231</v>
      </c>
      <c r="C98" s="12">
        <v>231.0</v>
      </c>
      <c r="D98" s="13">
        <v>3.2</v>
      </c>
      <c r="E98" s="14">
        <f t="shared" si="1"/>
        <v>0.7392</v>
      </c>
      <c r="F98" s="15">
        <f t="shared" si="2"/>
        <v>0.7392</v>
      </c>
      <c r="G98" s="15">
        <f t="shared" si="3"/>
        <v>1211.10528</v>
      </c>
      <c r="H98" s="15">
        <f t="shared" si="4"/>
        <v>7.392000059</v>
      </c>
      <c r="I98" s="14">
        <v>1.21</v>
      </c>
      <c r="J98" s="9">
        <f t="shared" si="5"/>
        <v>2502.283636</v>
      </c>
      <c r="K98" s="10">
        <f t="shared" si="6"/>
        <v>11.0026862</v>
      </c>
    </row>
    <row r="99" ht="22.5" customHeight="1">
      <c r="A99" s="12">
        <v>2.5</v>
      </c>
      <c r="B99" s="16">
        <f t="shared" si="12"/>
        <v>252</v>
      </c>
      <c r="C99" s="12">
        <v>252.0</v>
      </c>
      <c r="D99" s="13">
        <v>3.2</v>
      </c>
      <c r="E99" s="14">
        <f t="shared" si="1"/>
        <v>0.8064</v>
      </c>
      <c r="F99" s="15">
        <f t="shared" si="2"/>
        <v>0.8064</v>
      </c>
      <c r="G99" s="15">
        <f t="shared" si="3"/>
        <v>1321.20576</v>
      </c>
      <c r="H99" s="15">
        <f t="shared" si="4"/>
        <v>8.064000064</v>
      </c>
      <c r="I99" s="14">
        <v>1.21</v>
      </c>
      <c r="J99" s="9">
        <f t="shared" si="5"/>
        <v>2729.763967</v>
      </c>
      <c r="K99" s="10">
        <f t="shared" si="6"/>
        <v>12.0029304</v>
      </c>
    </row>
    <row r="100" ht="22.5" customHeight="1">
      <c r="A100" s="12">
        <v>2.5</v>
      </c>
      <c r="B100" s="16">
        <f t="shared" si="12"/>
        <v>273</v>
      </c>
      <c r="C100" s="12">
        <v>273.0</v>
      </c>
      <c r="D100" s="13">
        <v>3.2</v>
      </c>
      <c r="E100" s="14">
        <f t="shared" si="1"/>
        <v>0.8736</v>
      </c>
      <c r="F100" s="15">
        <f t="shared" si="2"/>
        <v>0.8736</v>
      </c>
      <c r="G100" s="15">
        <f t="shared" si="3"/>
        <v>1431.30624</v>
      </c>
      <c r="H100" s="15">
        <f t="shared" si="4"/>
        <v>8.736000069</v>
      </c>
      <c r="I100" s="14">
        <v>1.21</v>
      </c>
      <c r="J100" s="9">
        <f t="shared" si="5"/>
        <v>2957.244298</v>
      </c>
      <c r="K100" s="10">
        <f t="shared" si="6"/>
        <v>13.0031746</v>
      </c>
    </row>
    <row r="101" ht="22.5" customHeight="1">
      <c r="A101" s="12">
        <v>2.5</v>
      </c>
      <c r="B101" s="16">
        <f t="shared" si="12"/>
        <v>294</v>
      </c>
      <c r="C101" s="12">
        <v>295.0</v>
      </c>
      <c r="D101" s="13">
        <v>3.2</v>
      </c>
      <c r="E101" s="14">
        <f t="shared" si="1"/>
        <v>0.944</v>
      </c>
      <c r="F101" s="15">
        <f t="shared" si="2"/>
        <v>0.944</v>
      </c>
      <c r="G101" s="15">
        <f t="shared" si="3"/>
        <v>1546.6496</v>
      </c>
      <c r="H101" s="15">
        <f t="shared" si="4"/>
        <v>9.440000075</v>
      </c>
      <c r="I101" s="14">
        <v>1.21</v>
      </c>
      <c r="J101" s="9">
        <f t="shared" si="5"/>
        <v>3195.557025</v>
      </c>
      <c r="K101" s="10">
        <f t="shared" si="6"/>
        <v>14.05104948</v>
      </c>
    </row>
    <row r="102" ht="22.5" customHeight="1">
      <c r="A102" s="12">
        <v>2.5</v>
      </c>
      <c r="B102" s="16">
        <f t="shared" si="12"/>
        <v>315</v>
      </c>
      <c r="C102" s="12">
        <v>316.0</v>
      </c>
      <c r="D102" s="13">
        <v>3.2</v>
      </c>
      <c r="E102" s="14">
        <f t="shared" si="1"/>
        <v>1.0112</v>
      </c>
      <c r="F102" s="15">
        <f t="shared" si="2"/>
        <v>1.0112</v>
      </c>
      <c r="G102" s="15">
        <f t="shared" si="3"/>
        <v>1656.75008</v>
      </c>
      <c r="H102" s="15">
        <f t="shared" si="4"/>
        <v>10.11200008</v>
      </c>
      <c r="I102" s="14">
        <v>1.21</v>
      </c>
      <c r="J102" s="9">
        <f t="shared" si="5"/>
        <v>3423.037355</v>
      </c>
      <c r="K102" s="10">
        <f t="shared" si="6"/>
        <v>15.05129368</v>
      </c>
    </row>
    <row r="103" ht="22.5" customHeight="1">
      <c r="A103" s="12">
        <v>2.5</v>
      </c>
      <c r="B103" s="16">
        <f t="shared" si="12"/>
        <v>336</v>
      </c>
      <c r="C103" s="12">
        <v>337.0</v>
      </c>
      <c r="D103" s="13">
        <v>3.2</v>
      </c>
      <c r="E103" s="14">
        <f t="shared" si="1"/>
        <v>1.0784</v>
      </c>
      <c r="F103" s="15">
        <f t="shared" si="2"/>
        <v>1.0784</v>
      </c>
      <c r="G103" s="15">
        <f t="shared" si="3"/>
        <v>1766.85056</v>
      </c>
      <c r="H103" s="15">
        <f t="shared" si="4"/>
        <v>10.78400009</v>
      </c>
      <c r="I103" s="14">
        <v>1.21</v>
      </c>
      <c r="J103" s="9">
        <f t="shared" si="5"/>
        <v>3650.517686</v>
      </c>
      <c r="K103" s="10">
        <f t="shared" si="6"/>
        <v>16.05153788</v>
      </c>
    </row>
    <row r="104" ht="22.5" customHeight="1">
      <c r="A104" s="5">
        <v>2.4</v>
      </c>
      <c r="B104" s="5">
        <v>0.0</v>
      </c>
      <c r="C104" s="5">
        <v>1.06</v>
      </c>
      <c r="D104" s="6">
        <v>3.2</v>
      </c>
      <c r="E104" s="7">
        <f t="shared" si="1"/>
        <v>0.003392</v>
      </c>
      <c r="F104" s="7">
        <f t="shared" si="2"/>
        <v>0.003392</v>
      </c>
      <c r="G104" s="8">
        <f t="shared" si="3"/>
        <v>5.789013333</v>
      </c>
      <c r="H104" s="8">
        <f t="shared" si="4"/>
        <v>0.03533333361</v>
      </c>
      <c r="I104" s="7">
        <v>1.21</v>
      </c>
      <c r="J104" s="9">
        <f t="shared" si="5"/>
        <v>11.4823405</v>
      </c>
      <c r="K104" s="10">
        <f t="shared" si="6"/>
        <v>0.05048851677</v>
      </c>
    </row>
    <row r="105" ht="22.5" customHeight="1">
      <c r="A105" s="5">
        <v>2.4</v>
      </c>
      <c r="B105" s="5">
        <v>21.0</v>
      </c>
      <c r="C105" s="5">
        <v>20.7</v>
      </c>
      <c r="D105" s="6">
        <v>3.2</v>
      </c>
      <c r="E105" s="7">
        <f t="shared" si="1"/>
        <v>0.06624</v>
      </c>
      <c r="F105" s="7">
        <f t="shared" si="2"/>
        <v>0.06624</v>
      </c>
      <c r="G105" s="8">
        <f t="shared" si="3"/>
        <v>113.0496</v>
      </c>
      <c r="H105" s="8">
        <f t="shared" si="4"/>
        <v>0.6900000055</v>
      </c>
      <c r="I105" s="7">
        <v>1.21</v>
      </c>
      <c r="J105" s="9">
        <f t="shared" si="5"/>
        <v>224.2306116</v>
      </c>
      <c r="K105" s="10">
        <f t="shared" si="6"/>
        <v>0.9859549974</v>
      </c>
    </row>
    <row r="106" ht="22.5" customHeight="1">
      <c r="A106" s="5">
        <v>2.4</v>
      </c>
      <c r="B106" s="11">
        <f t="shared" ref="B106:B120" si="13">B105+21</f>
        <v>42</v>
      </c>
      <c r="C106" s="5">
        <v>41.7</v>
      </c>
      <c r="D106" s="6">
        <v>3.2</v>
      </c>
      <c r="E106" s="7">
        <f t="shared" si="1"/>
        <v>0.13344</v>
      </c>
      <c r="F106" s="7">
        <f t="shared" si="2"/>
        <v>0.13344</v>
      </c>
      <c r="G106" s="8">
        <f t="shared" si="3"/>
        <v>227.7376</v>
      </c>
      <c r="H106" s="8">
        <f t="shared" si="4"/>
        <v>1.390000011</v>
      </c>
      <c r="I106" s="7">
        <v>1.21</v>
      </c>
      <c r="J106" s="9">
        <f t="shared" si="5"/>
        <v>451.7109421</v>
      </c>
      <c r="K106" s="10">
        <f t="shared" si="6"/>
        <v>1.986199198</v>
      </c>
    </row>
    <row r="107" ht="22.5" customHeight="1">
      <c r="A107" s="5">
        <v>2.4</v>
      </c>
      <c r="B107" s="11">
        <f t="shared" si="13"/>
        <v>63</v>
      </c>
      <c r="C107" s="5">
        <v>62.8</v>
      </c>
      <c r="D107" s="6">
        <v>3.2</v>
      </c>
      <c r="E107" s="7">
        <f t="shared" si="1"/>
        <v>0.20096</v>
      </c>
      <c r="F107" s="7">
        <f t="shared" si="2"/>
        <v>0.20096</v>
      </c>
      <c r="G107" s="8">
        <f t="shared" si="3"/>
        <v>342.9717333</v>
      </c>
      <c r="H107" s="8">
        <f t="shared" si="4"/>
        <v>2.09333335</v>
      </c>
      <c r="I107" s="7">
        <v>1.21</v>
      </c>
      <c r="J107" s="9">
        <f t="shared" si="5"/>
        <v>680.2745124</v>
      </c>
      <c r="K107" s="10">
        <f t="shared" si="6"/>
        <v>2.991206465</v>
      </c>
    </row>
    <row r="108" ht="22.5" customHeight="1">
      <c r="A108" s="5">
        <v>2.4</v>
      </c>
      <c r="B108" s="11">
        <f t="shared" si="13"/>
        <v>84</v>
      </c>
      <c r="C108" s="5">
        <v>83.9</v>
      </c>
      <c r="D108" s="6">
        <v>3.2</v>
      </c>
      <c r="E108" s="7">
        <f t="shared" si="1"/>
        <v>0.26848</v>
      </c>
      <c r="F108" s="7">
        <f t="shared" si="2"/>
        <v>0.26848</v>
      </c>
      <c r="G108" s="8">
        <f t="shared" si="3"/>
        <v>458.2058667</v>
      </c>
      <c r="H108" s="8">
        <f t="shared" si="4"/>
        <v>2.796666689</v>
      </c>
      <c r="I108" s="7">
        <v>1.21</v>
      </c>
      <c r="J108" s="9">
        <f t="shared" si="5"/>
        <v>908.8380826</v>
      </c>
      <c r="K108" s="10">
        <f t="shared" si="6"/>
        <v>3.996213733</v>
      </c>
    </row>
    <row r="109" ht="22.5" customHeight="1">
      <c r="A109" s="5">
        <v>2.4</v>
      </c>
      <c r="B109" s="11">
        <f t="shared" si="13"/>
        <v>105</v>
      </c>
      <c r="C109" s="5">
        <v>105.0</v>
      </c>
      <c r="D109" s="6">
        <v>3.2</v>
      </c>
      <c r="E109" s="7">
        <f t="shared" si="1"/>
        <v>0.336</v>
      </c>
      <c r="F109" s="8">
        <f t="shared" si="2"/>
        <v>0.336</v>
      </c>
      <c r="G109" s="8">
        <f t="shared" si="3"/>
        <v>573.44</v>
      </c>
      <c r="H109" s="8">
        <f t="shared" si="4"/>
        <v>3.500000028</v>
      </c>
      <c r="I109" s="7">
        <v>1.21</v>
      </c>
      <c r="J109" s="9">
        <f t="shared" si="5"/>
        <v>1137.401653</v>
      </c>
      <c r="K109" s="10">
        <f t="shared" si="6"/>
        <v>5.001221001</v>
      </c>
    </row>
    <row r="110" ht="22.5" customHeight="1">
      <c r="A110" s="5">
        <v>2.4</v>
      </c>
      <c r="B110" s="11">
        <f t="shared" si="13"/>
        <v>126</v>
      </c>
      <c r="C110" s="5">
        <v>126.0</v>
      </c>
      <c r="D110" s="6">
        <v>3.2</v>
      </c>
      <c r="E110" s="7">
        <f t="shared" si="1"/>
        <v>0.4032</v>
      </c>
      <c r="F110" s="8">
        <f t="shared" si="2"/>
        <v>0.4032</v>
      </c>
      <c r="G110" s="8">
        <f t="shared" si="3"/>
        <v>688.128</v>
      </c>
      <c r="H110" s="8">
        <f t="shared" si="4"/>
        <v>4.200000033</v>
      </c>
      <c r="I110" s="7">
        <v>1.21</v>
      </c>
      <c r="J110" s="9">
        <f t="shared" si="5"/>
        <v>1364.881983</v>
      </c>
      <c r="K110" s="10">
        <f t="shared" si="6"/>
        <v>6.001465201</v>
      </c>
    </row>
    <row r="111" ht="22.5" customHeight="1">
      <c r="A111" s="5">
        <v>2.4</v>
      </c>
      <c r="B111" s="11">
        <f t="shared" si="13"/>
        <v>147</v>
      </c>
      <c r="C111" s="5">
        <v>147.0</v>
      </c>
      <c r="D111" s="6">
        <v>3.2</v>
      </c>
      <c r="E111" s="7">
        <f t="shared" si="1"/>
        <v>0.4704</v>
      </c>
      <c r="F111" s="8">
        <f t="shared" si="2"/>
        <v>0.4704</v>
      </c>
      <c r="G111" s="8">
        <f t="shared" si="3"/>
        <v>802.816</v>
      </c>
      <c r="H111" s="8">
        <f t="shared" si="4"/>
        <v>4.900000039</v>
      </c>
      <c r="I111" s="7">
        <v>1.21</v>
      </c>
      <c r="J111" s="9">
        <f t="shared" si="5"/>
        <v>1592.362314</v>
      </c>
      <c r="K111" s="10">
        <f t="shared" si="6"/>
        <v>7.001709402</v>
      </c>
    </row>
    <row r="112" ht="22.5" customHeight="1">
      <c r="A112" s="5">
        <v>2.4</v>
      </c>
      <c r="B112" s="11">
        <f t="shared" si="13"/>
        <v>168</v>
      </c>
      <c r="C112" s="5">
        <v>168.0</v>
      </c>
      <c r="D112" s="6">
        <v>3.2</v>
      </c>
      <c r="E112" s="7">
        <f t="shared" si="1"/>
        <v>0.5376</v>
      </c>
      <c r="F112" s="8">
        <f t="shared" si="2"/>
        <v>0.5376</v>
      </c>
      <c r="G112" s="8">
        <f t="shared" si="3"/>
        <v>917.504</v>
      </c>
      <c r="H112" s="8">
        <f t="shared" si="4"/>
        <v>5.600000044</v>
      </c>
      <c r="I112" s="7">
        <v>1.21</v>
      </c>
      <c r="J112" s="9">
        <f t="shared" si="5"/>
        <v>1819.842645</v>
      </c>
      <c r="K112" s="10">
        <f t="shared" si="6"/>
        <v>8.001953602</v>
      </c>
    </row>
    <row r="113" ht="22.5" customHeight="1">
      <c r="A113" s="5">
        <v>2.4</v>
      </c>
      <c r="B113" s="11">
        <f t="shared" si="13"/>
        <v>189</v>
      </c>
      <c r="C113" s="5">
        <v>189.0</v>
      </c>
      <c r="D113" s="6">
        <v>3.2</v>
      </c>
      <c r="E113" s="7">
        <f t="shared" si="1"/>
        <v>0.6048</v>
      </c>
      <c r="F113" s="8">
        <f t="shared" si="2"/>
        <v>0.6048</v>
      </c>
      <c r="G113" s="8">
        <f t="shared" si="3"/>
        <v>1032.192</v>
      </c>
      <c r="H113" s="8">
        <f t="shared" si="4"/>
        <v>6.30000005</v>
      </c>
      <c r="I113" s="7">
        <v>1.21</v>
      </c>
      <c r="J113" s="9">
        <f t="shared" si="5"/>
        <v>2047.322975</v>
      </c>
      <c r="K113" s="10">
        <f t="shared" si="6"/>
        <v>9.002197802</v>
      </c>
    </row>
    <row r="114" ht="22.5" customHeight="1">
      <c r="A114" s="5">
        <v>2.4</v>
      </c>
      <c r="B114" s="11">
        <f t="shared" si="13"/>
        <v>210</v>
      </c>
      <c r="C114" s="5">
        <v>210.0</v>
      </c>
      <c r="D114" s="6">
        <v>3.2</v>
      </c>
      <c r="E114" s="7">
        <f t="shared" si="1"/>
        <v>0.672</v>
      </c>
      <c r="F114" s="8">
        <f t="shared" si="2"/>
        <v>0.672</v>
      </c>
      <c r="G114" s="8">
        <f t="shared" si="3"/>
        <v>1146.88</v>
      </c>
      <c r="H114" s="8">
        <f t="shared" si="4"/>
        <v>7.000000056</v>
      </c>
      <c r="I114" s="7">
        <v>1.21</v>
      </c>
      <c r="J114" s="9">
        <f t="shared" si="5"/>
        <v>2274.803306</v>
      </c>
      <c r="K114" s="10">
        <f t="shared" si="6"/>
        <v>10.002442</v>
      </c>
    </row>
    <row r="115" ht="22.5" customHeight="1">
      <c r="A115" s="5">
        <v>2.4</v>
      </c>
      <c r="B115" s="11">
        <f t="shared" si="13"/>
        <v>231</v>
      </c>
      <c r="C115" s="5">
        <v>231.0</v>
      </c>
      <c r="D115" s="6">
        <v>3.2</v>
      </c>
      <c r="E115" s="7">
        <f t="shared" si="1"/>
        <v>0.7392</v>
      </c>
      <c r="F115" s="8">
        <f t="shared" si="2"/>
        <v>0.7392</v>
      </c>
      <c r="G115" s="8">
        <f t="shared" si="3"/>
        <v>1261.568</v>
      </c>
      <c r="H115" s="8">
        <f t="shared" si="4"/>
        <v>7.700000061</v>
      </c>
      <c r="I115" s="7">
        <v>1.21</v>
      </c>
      <c r="J115" s="9">
        <f t="shared" si="5"/>
        <v>2502.283636</v>
      </c>
      <c r="K115" s="10">
        <f t="shared" si="6"/>
        <v>11.0026862</v>
      </c>
    </row>
    <row r="116" ht="22.5" customHeight="1">
      <c r="A116" s="5">
        <v>2.4</v>
      </c>
      <c r="B116" s="11">
        <f t="shared" si="13"/>
        <v>252</v>
      </c>
      <c r="C116" s="5">
        <v>252.0</v>
      </c>
      <c r="D116" s="6">
        <v>3.2</v>
      </c>
      <c r="E116" s="7">
        <f t="shared" si="1"/>
        <v>0.8064</v>
      </c>
      <c r="F116" s="8">
        <f t="shared" si="2"/>
        <v>0.8064</v>
      </c>
      <c r="G116" s="8">
        <f t="shared" si="3"/>
        <v>1376.256</v>
      </c>
      <c r="H116" s="8">
        <f t="shared" si="4"/>
        <v>8.400000067</v>
      </c>
      <c r="I116" s="7">
        <v>1.21</v>
      </c>
      <c r="J116" s="9">
        <f t="shared" si="5"/>
        <v>2729.763967</v>
      </c>
      <c r="K116" s="10">
        <f t="shared" si="6"/>
        <v>12.0029304</v>
      </c>
    </row>
    <row r="117" ht="22.5" customHeight="1">
      <c r="A117" s="5">
        <v>2.4</v>
      </c>
      <c r="B117" s="11">
        <f t="shared" si="13"/>
        <v>273</v>
      </c>
      <c r="C117" s="5">
        <v>273.0</v>
      </c>
      <c r="D117" s="6">
        <v>3.2</v>
      </c>
      <c r="E117" s="7">
        <f t="shared" si="1"/>
        <v>0.8736</v>
      </c>
      <c r="F117" s="8">
        <f t="shared" si="2"/>
        <v>0.8736</v>
      </c>
      <c r="G117" s="8">
        <f t="shared" si="3"/>
        <v>1490.944</v>
      </c>
      <c r="H117" s="8">
        <f t="shared" si="4"/>
        <v>9.100000072</v>
      </c>
      <c r="I117" s="7">
        <v>1.21</v>
      </c>
      <c r="J117" s="9">
        <f t="shared" si="5"/>
        <v>2957.244298</v>
      </c>
      <c r="K117" s="10">
        <f t="shared" si="6"/>
        <v>13.0031746</v>
      </c>
    </row>
    <row r="118" ht="22.5" customHeight="1">
      <c r="A118" s="5">
        <v>2.4</v>
      </c>
      <c r="B118" s="11">
        <f t="shared" si="13"/>
        <v>294</v>
      </c>
      <c r="C118" s="5">
        <v>295.0</v>
      </c>
      <c r="D118" s="6">
        <v>3.2</v>
      </c>
      <c r="E118" s="7">
        <f t="shared" si="1"/>
        <v>0.944</v>
      </c>
      <c r="F118" s="8">
        <f t="shared" si="2"/>
        <v>0.944</v>
      </c>
      <c r="G118" s="8">
        <f t="shared" si="3"/>
        <v>1611.093333</v>
      </c>
      <c r="H118" s="8">
        <f t="shared" si="4"/>
        <v>9.833333411</v>
      </c>
      <c r="I118" s="7">
        <v>1.21</v>
      </c>
      <c r="J118" s="9">
        <f t="shared" si="5"/>
        <v>3195.557025</v>
      </c>
      <c r="K118" s="10">
        <f t="shared" si="6"/>
        <v>14.05104948</v>
      </c>
    </row>
    <row r="119" ht="22.5" customHeight="1">
      <c r="A119" s="5">
        <v>2.4</v>
      </c>
      <c r="B119" s="11">
        <f t="shared" si="13"/>
        <v>315</v>
      </c>
      <c r="C119" s="5">
        <v>316.0</v>
      </c>
      <c r="D119" s="6">
        <v>3.2</v>
      </c>
      <c r="E119" s="7">
        <f t="shared" si="1"/>
        <v>1.0112</v>
      </c>
      <c r="F119" s="8">
        <f t="shared" si="2"/>
        <v>1.0112</v>
      </c>
      <c r="G119" s="8">
        <f t="shared" si="3"/>
        <v>1725.781333</v>
      </c>
      <c r="H119" s="8">
        <f t="shared" si="4"/>
        <v>10.53333342</v>
      </c>
      <c r="I119" s="7">
        <v>1.21</v>
      </c>
      <c r="J119" s="9">
        <f t="shared" si="5"/>
        <v>3423.037355</v>
      </c>
      <c r="K119" s="10">
        <f t="shared" si="6"/>
        <v>15.05129368</v>
      </c>
    </row>
    <row r="120" ht="22.5" customHeight="1">
      <c r="A120" s="5">
        <v>2.4</v>
      </c>
      <c r="B120" s="11">
        <f t="shared" si="13"/>
        <v>336</v>
      </c>
      <c r="C120" s="5">
        <v>337.0</v>
      </c>
      <c r="D120" s="6">
        <v>3.2</v>
      </c>
      <c r="E120" s="7">
        <f t="shared" si="1"/>
        <v>1.0784</v>
      </c>
      <c r="F120" s="8">
        <f t="shared" si="2"/>
        <v>1.0784</v>
      </c>
      <c r="G120" s="8">
        <f t="shared" si="3"/>
        <v>1840.469333</v>
      </c>
      <c r="H120" s="8">
        <f t="shared" si="4"/>
        <v>11.23333342</v>
      </c>
      <c r="I120" s="7">
        <v>1.21</v>
      </c>
      <c r="J120" s="9">
        <f t="shared" si="5"/>
        <v>3650.517686</v>
      </c>
      <c r="K120" s="10">
        <f t="shared" si="6"/>
        <v>16.05153788</v>
      </c>
    </row>
    <row r="121" ht="22.5" customHeight="1">
      <c r="A121" s="12">
        <v>2.3</v>
      </c>
      <c r="B121" s="12">
        <v>0.0</v>
      </c>
      <c r="C121" s="12">
        <v>1.06</v>
      </c>
      <c r="D121" s="13">
        <v>3.2</v>
      </c>
      <c r="E121" s="14">
        <f t="shared" si="1"/>
        <v>0.003392</v>
      </c>
      <c r="F121" s="14">
        <f t="shared" si="2"/>
        <v>0.003392</v>
      </c>
      <c r="G121" s="15">
        <f t="shared" si="3"/>
        <v>6.040709565</v>
      </c>
      <c r="H121" s="15">
        <f t="shared" si="4"/>
        <v>0.03686956551</v>
      </c>
      <c r="I121" s="14">
        <v>1.21</v>
      </c>
      <c r="J121" s="9">
        <f t="shared" si="5"/>
        <v>11.4823405</v>
      </c>
      <c r="K121" s="10">
        <f t="shared" si="6"/>
        <v>0.05048851677</v>
      </c>
    </row>
    <row r="122" ht="22.5" customHeight="1">
      <c r="A122" s="12">
        <v>2.3</v>
      </c>
      <c r="B122" s="12">
        <v>21.0</v>
      </c>
      <c r="C122" s="12">
        <v>20.7</v>
      </c>
      <c r="D122" s="13">
        <v>3.2</v>
      </c>
      <c r="E122" s="14">
        <f t="shared" si="1"/>
        <v>0.06624</v>
      </c>
      <c r="F122" s="14">
        <f t="shared" si="2"/>
        <v>0.06624</v>
      </c>
      <c r="G122" s="15">
        <f t="shared" si="3"/>
        <v>117.9648</v>
      </c>
      <c r="H122" s="15">
        <f t="shared" si="4"/>
        <v>0.7200000057</v>
      </c>
      <c r="I122" s="14">
        <v>1.21</v>
      </c>
      <c r="J122" s="9">
        <f t="shared" si="5"/>
        <v>224.2306116</v>
      </c>
      <c r="K122" s="10">
        <f t="shared" si="6"/>
        <v>0.9859549974</v>
      </c>
    </row>
    <row r="123" ht="22.5" customHeight="1">
      <c r="A123" s="12">
        <v>2.3</v>
      </c>
      <c r="B123" s="16">
        <f t="shared" ref="B123:B137" si="14">B122+21</f>
        <v>42</v>
      </c>
      <c r="C123" s="12">
        <v>41.7</v>
      </c>
      <c r="D123" s="13">
        <v>3.2</v>
      </c>
      <c r="E123" s="14">
        <f t="shared" si="1"/>
        <v>0.13344</v>
      </c>
      <c r="F123" s="14">
        <f t="shared" si="2"/>
        <v>0.13344</v>
      </c>
      <c r="G123" s="15">
        <f t="shared" si="3"/>
        <v>237.6392348</v>
      </c>
      <c r="H123" s="15">
        <f t="shared" si="4"/>
        <v>1.450434794</v>
      </c>
      <c r="I123" s="14">
        <v>1.21</v>
      </c>
      <c r="J123" s="9">
        <f t="shared" si="5"/>
        <v>451.7109421</v>
      </c>
      <c r="K123" s="10">
        <f t="shared" si="6"/>
        <v>1.986199198</v>
      </c>
    </row>
    <row r="124" ht="22.5" customHeight="1">
      <c r="A124" s="12">
        <v>2.3</v>
      </c>
      <c r="B124" s="16">
        <f t="shared" si="14"/>
        <v>63</v>
      </c>
      <c r="C124" s="12">
        <v>62.8</v>
      </c>
      <c r="D124" s="13">
        <v>3.2</v>
      </c>
      <c r="E124" s="14">
        <f t="shared" si="1"/>
        <v>0.20096</v>
      </c>
      <c r="F124" s="14">
        <f t="shared" si="2"/>
        <v>0.20096</v>
      </c>
      <c r="G124" s="15">
        <f t="shared" si="3"/>
        <v>357.8835478</v>
      </c>
      <c r="H124" s="15">
        <f t="shared" si="4"/>
        <v>2.184347843</v>
      </c>
      <c r="I124" s="14">
        <v>1.21</v>
      </c>
      <c r="J124" s="9">
        <f t="shared" si="5"/>
        <v>680.2745124</v>
      </c>
      <c r="K124" s="10">
        <f t="shared" si="6"/>
        <v>2.991206465</v>
      </c>
    </row>
    <row r="125" ht="22.5" customHeight="1">
      <c r="A125" s="12">
        <v>2.3</v>
      </c>
      <c r="B125" s="16">
        <f t="shared" si="14"/>
        <v>84</v>
      </c>
      <c r="C125" s="12">
        <v>83.9</v>
      </c>
      <c r="D125" s="13">
        <v>3.2</v>
      </c>
      <c r="E125" s="14">
        <f t="shared" si="1"/>
        <v>0.26848</v>
      </c>
      <c r="F125" s="14">
        <f t="shared" si="2"/>
        <v>0.26848</v>
      </c>
      <c r="G125" s="15">
        <f t="shared" si="3"/>
        <v>478.1278609</v>
      </c>
      <c r="H125" s="15">
        <f t="shared" si="4"/>
        <v>2.918260893</v>
      </c>
      <c r="I125" s="14">
        <v>1.21</v>
      </c>
      <c r="J125" s="9">
        <f t="shared" si="5"/>
        <v>908.8380826</v>
      </c>
      <c r="K125" s="10">
        <f t="shared" si="6"/>
        <v>3.996213733</v>
      </c>
    </row>
    <row r="126" ht="22.5" customHeight="1">
      <c r="A126" s="12">
        <v>2.3</v>
      </c>
      <c r="B126" s="16">
        <f t="shared" si="14"/>
        <v>105</v>
      </c>
      <c r="C126" s="12">
        <v>105.0</v>
      </c>
      <c r="D126" s="13">
        <v>3.2</v>
      </c>
      <c r="E126" s="14">
        <f t="shared" si="1"/>
        <v>0.336</v>
      </c>
      <c r="F126" s="15">
        <f t="shared" si="2"/>
        <v>0.336</v>
      </c>
      <c r="G126" s="15">
        <f t="shared" si="3"/>
        <v>598.3721739</v>
      </c>
      <c r="H126" s="15">
        <f t="shared" si="4"/>
        <v>3.652173942</v>
      </c>
      <c r="I126" s="14">
        <v>1.21</v>
      </c>
      <c r="J126" s="9">
        <f t="shared" si="5"/>
        <v>1137.401653</v>
      </c>
      <c r="K126" s="10">
        <f t="shared" si="6"/>
        <v>5.001221001</v>
      </c>
    </row>
    <row r="127" ht="22.5" customHeight="1">
      <c r="A127" s="12">
        <v>2.3</v>
      </c>
      <c r="B127" s="16">
        <f t="shared" si="14"/>
        <v>126</v>
      </c>
      <c r="C127" s="12">
        <v>126.0</v>
      </c>
      <c r="D127" s="13">
        <v>3.2</v>
      </c>
      <c r="E127" s="14">
        <f t="shared" si="1"/>
        <v>0.4032</v>
      </c>
      <c r="F127" s="15">
        <f t="shared" si="2"/>
        <v>0.4032</v>
      </c>
      <c r="G127" s="15">
        <f t="shared" si="3"/>
        <v>718.0466087</v>
      </c>
      <c r="H127" s="15">
        <f t="shared" si="4"/>
        <v>4.38260873</v>
      </c>
      <c r="I127" s="14">
        <v>1.21</v>
      </c>
      <c r="J127" s="9">
        <f t="shared" si="5"/>
        <v>1364.881983</v>
      </c>
      <c r="K127" s="10">
        <f t="shared" si="6"/>
        <v>6.001465201</v>
      </c>
    </row>
    <row r="128" ht="22.5" customHeight="1">
      <c r="A128" s="12">
        <v>2.3</v>
      </c>
      <c r="B128" s="16">
        <f t="shared" si="14"/>
        <v>147</v>
      </c>
      <c r="C128" s="12">
        <v>147.0</v>
      </c>
      <c r="D128" s="13">
        <v>3.2</v>
      </c>
      <c r="E128" s="14">
        <f t="shared" si="1"/>
        <v>0.4704</v>
      </c>
      <c r="F128" s="15">
        <f t="shared" si="2"/>
        <v>0.4704</v>
      </c>
      <c r="G128" s="15">
        <f t="shared" si="3"/>
        <v>837.7210435</v>
      </c>
      <c r="H128" s="15">
        <f t="shared" si="4"/>
        <v>5.113043519</v>
      </c>
      <c r="I128" s="14">
        <v>1.21</v>
      </c>
      <c r="J128" s="9">
        <f t="shared" si="5"/>
        <v>1592.362314</v>
      </c>
      <c r="K128" s="10">
        <f t="shared" si="6"/>
        <v>7.001709402</v>
      </c>
    </row>
    <row r="129" ht="22.5" customHeight="1">
      <c r="A129" s="12">
        <v>2.3</v>
      </c>
      <c r="B129" s="16">
        <f t="shared" si="14"/>
        <v>168</v>
      </c>
      <c r="C129" s="12">
        <v>168.0</v>
      </c>
      <c r="D129" s="13">
        <v>3.2</v>
      </c>
      <c r="E129" s="14">
        <f t="shared" si="1"/>
        <v>0.5376</v>
      </c>
      <c r="F129" s="15">
        <f t="shared" si="2"/>
        <v>0.5376</v>
      </c>
      <c r="G129" s="15">
        <f t="shared" si="3"/>
        <v>957.3954783</v>
      </c>
      <c r="H129" s="15">
        <f t="shared" si="4"/>
        <v>5.843478307</v>
      </c>
      <c r="I129" s="14">
        <v>1.21</v>
      </c>
      <c r="J129" s="9">
        <f t="shared" si="5"/>
        <v>1819.842645</v>
      </c>
      <c r="K129" s="10">
        <f t="shared" si="6"/>
        <v>8.001953602</v>
      </c>
    </row>
    <row r="130" ht="22.5" customHeight="1">
      <c r="A130" s="12">
        <v>2.3</v>
      </c>
      <c r="B130" s="16">
        <f t="shared" si="14"/>
        <v>189</v>
      </c>
      <c r="C130" s="12">
        <v>189.0</v>
      </c>
      <c r="D130" s="13">
        <v>3.2</v>
      </c>
      <c r="E130" s="14">
        <f t="shared" si="1"/>
        <v>0.6048</v>
      </c>
      <c r="F130" s="15">
        <f t="shared" si="2"/>
        <v>0.6048</v>
      </c>
      <c r="G130" s="15">
        <f t="shared" si="3"/>
        <v>1077.069913</v>
      </c>
      <c r="H130" s="15">
        <f t="shared" si="4"/>
        <v>6.573913096</v>
      </c>
      <c r="I130" s="14">
        <v>1.21</v>
      </c>
      <c r="J130" s="9">
        <f t="shared" si="5"/>
        <v>2047.322975</v>
      </c>
      <c r="K130" s="10">
        <f t="shared" si="6"/>
        <v>9.002197802</v>
      </c>
    </row>
    <row r="131" ht="22.5" customHeight="1">
      <c r="A131" s="12">
        <v>2.3</v>
      </c>
      <c r="B131" s="16">
        <f t="shared" si="14"/>
        <v>210</v>
      </c>
      <c r="C131" s="12">
        <v>210.0</v>
      </c>
      <c r="D131" s="13">
        <v>3.2</v>
      </c>
      <c r="E131" s="14">
        <f t="shared" si="1"/>
        <v>0.672</v>
      </c>
      <c r="F131" s="15">
        <f t="shared" si="2"/>
        <v>0.672</v>
      </c>
      <c r="G131" s="15">
        <f t="shared" si="3"/>
        <v>1196.744348</v>
      </c>
      <c r="H131" s="15">
        <f t="shared" si="4"/>
        <v>7.304347884</v>
      </c>
      <c r="I131" s="14">
        <v>1.21</v>
      </c>
      <c r="J131" s="9">
        <f t="shared" si="5"/>
        <v>2274.803306</v>
      </c>
      <c r="K131" s="10">
        <f t="shared" si="6"/>
        <v>10.002442</v>
      </c>
    </row>
    <row r="132" ht="22.5" customHeight="1">
      <c r="A132" s="12">
        <v>2.3</v>
      </c>
      <c r="B132" s="16">
        <f t="shared" si="14"/>
        <v>231</v>
      </c>
      <c r="C132" s="12">
        <v>231.0</v>
      </c>
      <c r="D132" s="13">
        <v>3.2</v>
      </c>
      <c r="E132" s="14">
        <f t="shared" si="1"/>
        <v>0.7392</v>
      </c>
      <c r="F132" s="15">
        <f t="shared" si="2"/>
        <v>0.7392</v>
      </c>
      <c r="G132" s="15">
        <f t="shared" si="3"/>
        <v>1316.418783</v>
      </c>
      <c r="H132" s="15">
        <f t="shared" si="4"/>
        <v>8.034782672</v>
      </c>
      <c r="I132" s="14">
        <v>1.21</v>
      </c>
      <c r="J132" s="9">
        <f t="shared" si="5"/>
        <v>2502.283636</v>
      </c>
      <c r="K132" s="10">
        <f t="shared" si="6"/>
        <v>11.0026862</v>
      </c>
    </row>
    <row r="133" ht="22.5" customHeight="1">
      <c r="A133" s="12">
        <v>2.3</v>
      </c>
      <c r="B133" s="16">
        <f t="shared" si="14"/>
        <v>252</v>
      </c>
      <c r="C133" s="12">
        <v>252.0</v>
      </c>
      <c r="D133" s="13">
        <v>3.2</v>
      </c>
      <c r="E133" s="14">
        <f t="shared" si="1"/>
        <v>0.8064</v>
      </c>
      <c r="F133" s="15">
        <f t="shared" si="2"/>
        <v>0.8064</v>
      </c>
      <c r="G133" s="15">
        <f t="shared" si="3"/>
        <v>1436.093217</v>
      </c>
      <c r="H133" s="15">
        <f t="shared" si="4"/>
        <v>8.765217461</v>
      </c>
      <c r="I133" s="14">
        <v>1.21</v>
      </c>
      <c r="J133" s="9">
        <f t="shared" si="5"/>
        <v>2729.763967</v>
      </c>
      <c r="K133" s="10">
        <f t="shared" si="6"/>
        <v>12.0029304</v>
      </c>
    </row>
    <row r="134" ht="22.5" customHeight="1">
      <c r="A134" s="12">
        <v>2.3</v>
      </c>
      <c r="B134" s="16">
        <f t="shared" si="14"/>
        <v>273</v>
      </c>
      <c r="C134" s="12">
        <v>273.0</v>
      </c>
      <c r="D134" s="13">
        <v>3.2</v>
      </c>
      <c r="E134" s="14">
        <f t="shared" si="1"/>
        <v>0.8736</v>
      </c>
      <c r="F134" s="15">
        <f t="shared" si="2"/>
        <v>0.8736</v>
      </c>
      <c r="G134" s="15">
        <f t="shared" si="3"/>
        <v>1555.767652</v>
      </c>
      <c r="H134" s="15">
        <f t="shared" si="4"/>
        <v>9.495652249</v>
      </c>
      <c r="I134" s="14">
        <v>1.21</v>
      </c>
      <c r="J134" s="9">
        <f t="shared" si="5"/>
        <v>2957.244298</v>
      </c>
      <c r="K134" s="10">
        <f t="shared" si="6"/>
        <v>13.0031746</v>
      </c>
    </row>
    <row r="135" ht="22.5" customHeight="1">
      <c r="A135" s="12">
        <v>2.3</v>
      </c>
      <c r="B135" s="16">
        <f t="shared" si="14"/>
        <v>294</v>
      </c>
      <c r="C135" s="12">
        <v>295.0</v>
      </c>
      <c r="D135" s="13">
        <v>3.2</v>
      </c>
      <c r="E135" s="14">
        <f t="shared" si="1"/>
        <v>0.944</v>
      </c>
      <c r="F135" s="15">
        <f t="shared" si="2"/>
        <v>0.944</v>
      </c>
      <c r="G135" s="15">
        <f t="shared" si="3"/>
        <v>1681.14087</v>
      </c>
      <c r="H135" s="15">
        <f t="shared" si="4"/>
        <v>10.26086965</v>
      </c>
      <c r="I135" s="14">
        <v>1.21</v>
      </c>
      <c r="J135" s="9">
        <f t="shared" si="5"/>
        <v>3195.557025</v>
      </c>
      <c r="K135" s="10">
        <f t="shared" si="6"/>
        <v>14.05104948</v>
      </c>
    </row>
    <row r="136" ht="22.5" customHeight="1">
      <c r="A136" s="12">
        <v>2.3</v>
      </c>
      <c r="B136" s="16">
        <f t="shared" si="14"/>
        <v>315</v>
      </c>
      <c r="C136" s="12">
        <v>316.0</v>
      </c>
      <c r="D136" s="13">
        <v>3.2</v>
      </c>
      <c r="E136" s="14">
        <f t="shared" si="1"/>
        <v>1.0112</v>
      </c>
      <c r="F136" s="15">
        <f t="shared" si="2"/>
        <v>1.0112</v>
      </c>
      <c r="G136" s="15">
        <f t="shared" si="3"/>
        <v>1800.815304</v>
      </c>
      <c r="H136" s="15">
        <f t="shared" si="4"/>
        <v>10.99130444</v>
      </c>
      <c r="I136" s="14">
        <v>1.21</v>
      </c>
      <c r="J136" s="9">
        <f t="shared" si="5"/>
        <v>3423.037355</v>
      </c>
      <c r="K136" s="10">
        <f t="shared" si="6"/>
        <v>15.05129368</v>
      </c>
    </row>
    <row r="137" ht="22.5" customHeight="1">
      <c r="A137" s="12">
        <v>2.3</v>
      </c>
      <c r="B137" s="16">
        <f t="shared" si="14"/>
        <v>336</v>
      </c>
      <c r="C137" s="12">
        <v>337.0</v>
      </c>
      <c r="D137" s="13">
        <v>3.2</v>
      </c>
      <c r="E137" s="14">
        <f t="shared" si="1"/>
        <v>1.0784</v>
      </c>
      <c r="F137" s="15">
        <f t="shared" si="2"/>
        <v>1.0784</v>
      </c>
      <c r="G137" s="15">
        <f t="shared" si="3"/>
        <v>1920.489739</v>
      </c>
      <c r="H137" s="15">
        <f t="shared" si="4"/>
        <v>11.72173922</v>
      </c>
      <c r="I137" s="14">
        <v>1.21</v>
      </c>
      <c r="J137" s="9">
        <f t="shared" si="5"/>
        <v>3650.517686</v>
      </c>
      <c r="K137" s="10">
        <f t="shared" si="6"/>
        <v>16.05153788</v>
      </c>
    </row>
    <row r="138" ht="22.5" customHeight="1">
      <c r="A138" s="5">
        <v>2.2</v>
      </c>
      <c r="B138" s="5">
        <v>0.0</v>
      </c>
      <c r="C138" s="5">
        <v>1.06</v>
      </c>
      <c r="D138" s="6">
        <v>3.2</v>
      </c>
      <c r="E138" s="7">
        <f t="shared" si="1"/>
        <v>0.003392</v>
      </c>
      <c r="F138" s="7">
        <f t="shared" si="2"/>
        <v>0.003392</v>
      </c>
      <c r="G138" s="8">
        <f t="shared" si="3"/>
        <v>6.315287273</v>
      </c>
      <c r="H138" s="8">
        <f t="shared" si="4"/>
        <v>0.03854545485</v>
      </c>
      <c r="I138" s="7">
        <v>1.21</v>
      </c>
      <c r="J138" s="9">
        <f t="shared" si="5"/>
        <v>11.4823405</v>
      </c>
      <c r="K138" s="10">
        <f t="shared" si="6"/>
        <v>0.05048851677</v>
      </c>
    </row>
    <row r="139" ht="22.5" customHeight="1">
      <c r="A139" s="5">
        <v>2.2</v>
      </c>
      <c r="B139" s="5">
        <v>21.0</v>
      </c>
      <c r="C139" s="5">
        <v>20.7</v>
      </c>
      <c r="D139" s="6">
        <v>3.2</v>
      </c>
      <c r="E139" s="7">
        <f t="shared" si="1"/>
        <v>0.06624</v>
      </c>
      <c r="F139" s="7">
        <f t="shared" si="2"/>
        <v>0.06624</v>
      </c>
      <c r="G139" s="8">
        <f t="shared" si="3"/>
        <v>123.3268364</v>
      </c>
      <c r="H139" s="8">
        <f t="shared" si="4"/>
        <v>0.7527272787</v>
      </c>
      <c r="I139" s="7">
        <v>1.21</v>
      </c>
      <c r="J139" s="9">
        <f t="shared" si="5"/>
        <v>224.2306116</v>
      </c>
      <c r="K139" s="10">
        <f t="shared" si="6"/>
        <v>0.9859549974</v>
      </c>
    </row>
    <row r="140" ht="22.5" customHeight="1">
      <c r="A140" s="5">
        <v>2.2</v>
      </c>
      <c r="B140" s="11">
        <f t="shared" ref="B140:B154" si="15">B139+21</f>
        <v>42</v>
      </c>
      <c r="C140" s="5">
        <v>41.7</v>
      </c>
      <c r="D140" s="6">
        <v>3.2</v>
      </c>
      <c r="E140" s="7">
        <f t="shared" si="1"/>
        <v>0.13344</v>
      </c>
      <c r="F140" s="7">
        <f t="shared" si="2"/>
        <v>0.13344</v>
      </c>
      <c r="G140" s="8">
        <f t="shared" si="3"/>
        <v>248.4410182</v>
      </c>
      <c r="H140" s="8">
        <f t="shared" si="4"/>
        <v>1.516363648</v>
      </c>
      <c r="I140" s="7">
        <v>1.21</v>
      </c>
      <c r="J140" s="9">
        <f t="shared" si="5"/>
        <v>451.7109421</v>
      </c>
      <c r="K140" s="10">
        <f t="shared" si="6"/>
        <v>1.986199198</v>
      </c>
    </row>
    <row r="141" ht="22.5" customHeight="1">
      <c r="A141" s="5">
        <v>2.2</v>
      </c>
      <c r="B141" s="11">
        <f t="shared" si="15"/>
        <v>63</v>
      </c>
      <c r="C141" s="5">
        <v>62.8</v>
      </c>
      <c r="D141" s="6">
        <v>3.2</v>
      </c>
      <c r="E141" s="7">
        <f t="shared" si="1"/>
        <v>0.20096</v>
      </c>
      <c r="F141" s="7">
        <f t="shared" si="2"/>
        <v>0.20096</v>
      </c>
      <c r="G141" s="8">
        <f t="shared" si="3"/>
        <v>374.1509818</v>
      </c>
      <c r="H141" s="8">
        <f t="shared" si="4"/>
        <v>2.283636382</v>
      </c>
      <c r="I141" s="7">
        <v>1.21</v>
      </c>
      <c r="J141" s="9">
        <f t="shared" si="5"/>
        <v>680.2745124</v>
      </c>
      <c r="K141" s="10">
        <f t="shared" si="6"/>
        <v>2.991206465</v>
      </c>
    </row>
    <row r="142" ht="22.5" customHeight="1">
      <c r="A142" s="5">
        <v>2.2</v>
      </c>
      <c r="B142" s="11">
        <f t="shared" si="15"/>
        <v>84</v>
      </c>
      <c r="C142" s="5">
        <v>83.9</v>
      </c>
      <c r="D142" s="6">
        <v>3.2</v>
      </c>
      <c r="E142" s="7">
        <f t="shared" si="1"/>
        <v>0.26848</v>
      </c>
      <c r="F142" s="7">
        <f t="shared" si="2"/>
        <v>0.26848</v>
      </c>
      <c r="G142" s="8">
        <f t="shared" si="3"/>
        <v>499.8609455</v>
      </c>
      <c r="H142" s="8">
        <f t="shared" si="4"/>
        <v>3.050909115</v>
      </c>
      <c r="I142" s="7">
        <v>1.21</v>
      </c>
      <c r="J142" s="9">
        <f t="shared" si="5"/>
        <v>908.8380826</v>
      </c>
      <c r="K142" s="10">
        <f t="shared" si="6"/>
        <v>3.996213733</v>
      </c>
    </row>
    <row r="143" ht="22.5" customHeight="1">
      <c r="A143" s="5">
        <v>2.2</v>
      </c>
      <c r="B143" s="11">
        <f t="shared" si="15"/>
        <v>105</v>
      </c>
      <c r="C143" s="5">
        <v>105.0</v>
      </c>
      <c r="D143" s="6">
        <v>3.2</v>
      </c>
      <c r="E143" s="7">
        <f t="shared" si="1"/>
        <v>0.336</v>
      </c>
      <c r="F143" s="8">
        <f t="shared" si="2"/>
        <v>0.336</v>
      </c>
      <c r="G143" s="8">
        <f t="shared" si="3"/>
        <v>625.5709091</v>
      </c>
      <c r="H143" s="8">
        <f t="shared" si="4"/>
        <v>3.818181848</v>
      </c>
      <c r="I143" s="7">
        <v>1.21</v>
      </c>
      <c r="J143" s="9">
        <f t="shared" si="5"/>
        <v>1137.401653</v>
      </c>
      <c r="K143" s="10">
        <f t="shared" si="6"/>
        <v>5.001221001</v>
      </c>
    </row>
    <row r="144" ht="22.5" customHeight="1">
      <c r="A144" s="5">
        <v>2.2</v>
      </c>
      <c r="B144" s="11">
        <f t="shared" si="15"/>
        <v>126</v>
      </c>
      <c r="C144" s="5">
        <v>126.0</v>
      </c>
      <c r="D144" s="6">
        <v>3.2</v>
      </c>
      <c r="E144" s="7">
        <f t="shared" si="1"/>
        <v>0.4032</v>
      </c>
      <c r="F144" s="8">
        <f t="shared" si="2"/>
        <v>0.4032</v>
      </c>
      <c r="G144" s="8">
        <f t="shared" si="3"/>
        <v>750.6850909</v>
      </c>
      <c r="H144" s="8">
        <f t="shared" si="4"/>
        <v>4.581818218</v>
      </c>
      <c r="I144" s="7">
        <v>1.21</v>
      </c>
      <c r="J144" s="9">
        <f t="shared" si="5"/>
        <v>1364.881983</v>
      </c>
      <c r="K144" s="10">
        <f t="shared" si="6"/>
        <v>6.001465201</v>
      </c>
    </row>
    <row r="145" ht="22.5" customHeight="1">
      <c r="A145" s="5">
        <v>2.2</v>
      </c>
      <c r="B145" s="11">
        <f t="shared" si="15"/>
        <v>147</v>
      </c>
      <c r="C145" s="5">
        <v>147.0</v>
      </c>
      <c r="D145" s="6">
        <v>3.2</v>
      </c>
      <c r="E145" s="7">
        <f t="shared" si="1"/>
        <v>0.4704</v>
      </c>
      <c r="F145" s="8">
        <f t="shared" si="2"/>
        <v>0.4704</v>
      </c>
      <c r="G145" s="8">
        <f t="shared" si="3"/>
        <v>875.7992727</v>
      </c>
      <c r="H145" s="8">
        <f t="shared" si="4"/>
        <v>5.345454588</v>
      </c>
      <c r="I145" s="7">
        <v>1.21</v>
      </c>
      <c r="J145" s="9">
        <f t="shared" si="5"/>
        <v>1592.362314</v>
      </c>
      <c r="K145" s="10">
        <f t="shared" si="6"/>
        <v>7.001709402</v>
      </c>
    </row>
    <row r="146" ht="22.5" customHeight="1">
      <c r="A146" s="5">
        <v>2.2</v>
      </c>
      <c r="B146" s="11">
        <f t="shared" si="15"/>
        <v>168</v>
      </c>
      <c r="C146" s="5">
        <v>168.0</v>
      </c>
      <c r="D146" s="6">
        <v>3.2</v>
      </c>
      <c r="E146" s="7">
        <f t="shared" si="1"/>
        <v>0.5376</v>
      </c>
      <c r="F146" s="8">
        <f t="shared" si="2"/>
        <v>0.5376</v>
      </c>
      <c r="G146" s="8">
        <f t="shared" si="3"/>
        <v>1000.913455</v>
      </c>
      <c r="H146" s="8">
        <f t="shared" si="4"/>
        <v>6.109090958</v>
      </c>
      <c r="I146" s="7">
        <v>1.21</v>
      </c>
      <c r="J146" s="9">
        <f t="shared" si="5"/>
        <v>1819.842645</v>
      </c>
      <c r="K146" s="10">
        <f t="shared" si="6"/>
        <v>8.001953602</v>
      </c>
    </row>
    <row r="147" ht="22.5" customHeight="1">
      <c r="A147" s="5">
        <v>2.2</v>
      </c>
      <c r="B147" s="11">
        <f t="shared" si="15"/>
        <v>189</v>
      </c>
      <c r="C147" s="5">
        <v>189.0</v>
      </c>
      <c r="D147" s="6">
        <v>3.2</v>
      </c>
      <c r="E147" s="7">
        <f t="shared" si="1"/>
        <v>0.6048</v>
      </c>
      <c r="F147" s="8">
        <f t="shared" si="2"/>
        <v>0.6048</v>
      </c>
      <c r="G147" s="8">
        <f t="shared" si="3"/>
        <v>1126.027636</v>
      </c>
      <c r="H147" s="8">
        <f t="shared" si="4"/>
        <v>6.872727327</v>
      </c>
      <c r="I147" s="7">
        <v>1.21</v>
      </c>
      <c r="J147" s="9">
        <f t="shared" si="5"/>
        <v>2047.322975</v>
      </c>
      <c r="K147" s="10">
        <f t="shared" si="6"/>
        <v>9.002197802</v>
      </c>
    </row>
    <row r="148" ht="22.5" customHeight="1">
      <c r="A148" s="5">
        <v>2.2</v>
      </c>
      <c r="B148" s="11">
        <f t="shared" si="15"/>
        <v>210</v>
      </c>
      <c r="C148" s="5">
        <v>210.0</v>
      </c>
      <c r="D148" s="6">
        <v>3.2</v>
      </c>
      <c r="E148" s="7">
        <f t="shared" si="1"/>
        <v>0.672</v>
      </c>
      <c r="F148" s="8">
        <f t="shared" si="2"/>
        <v>0.672</v>
      </c>
      <c r="G148" s="8">
        <f t="shared" si="3"/>
        <v>1251.141818</v>
      </c>
      <c r="H148" s="8">
        <f t="shared" si="4"/>
        <v>7.636363697</v>
      </c>
      <c r="I148" s="7">
        <v>1.21</v>
      </c>
      <c r="J148" s="9">
        <f t="shared" si="5"/>
        <v>2274.803306</v>
      </c>
      <c r="K148" s="10">
        <f t="shared" si="6"/>
        <v>10.002442</v>
      </c>
    </row>
    <row r="149" ht="22.5" customHeight="1">
      <c r="A149" s="5">
        <v>2.2</v>
      </c>
      <c r="B149" s="11">
        <f t="shared" si="15"/>
        <v>231</v>
      </c>
      <c r="C149" s="5">
        <v>231.0</v>
      </c>
      <c r="D149" s="6">
        <v>3.2</v>
      </c>
      <c r="E149" s="7">
        <f t="shared" si="1"/>
        <v>0.7392</v>
      </c>
      <c r="F149" s="8">
        <f t="shared" si="2"/>
        <v>0.7392</v>
      </c>
      <c r="G149" s="8">
        <f t="shared" si="3"/>
        <v>1376.256</v>
      </c>
      <c r="H149" s="8">
        <f t="shared" si="4"/>
        <v>8.400000067</v>
      </c>
      <c r="I149" s="7">
        <v>1.21</v>
      </c>
      <c r="J149" s="9">
        <f t="shared" si="5"/>
        <v>2502.283636</v>
      </c>
      <c r="K149" s="10">
        <f t="shared" si="6"/>
        <v>11.0026862</v>
      </c>
    </row>
    <row r="150" ht="22.5" customHeight="1">
      <c r="A150" s="5">
        <v>2.2</v>
      </c>
      <c r="B150" s="11">
        <f t="shared" si="15"/>
        <v>252</v>
      </c>
      <c r="C150" s="5">
        <v>252.0</v>
      </c>
      <c r="D150" s="6">
        <v>3.2</v>
      </c>
      <c r="E150" s="7">
        <f t="shared" si="1"/>
        <v>0.8064</v>
      </c>
      <c r="F150" s="8">
        <f t="shared" si="2"/>
        <v>0.8064</v>
      </c>
      <c r="G150" s="8">
        <f t="shared" si="3"/>
        <v>1501.370182</v>
      </c>
      <c r="H150" s="8">
        <f t="shared" si="4"/>
        <v>9.163636436</v>
      </c>
      <c r="I150" s="7">
        <v>1.21</v>
      </c>
      <c r="J150" s="9">
        <f t="shared" si="5"/>
        <v>2729.763967</v>
      </c>
      <c r="K150" s="10">
        <f t="shared" si="6"/>
        <v>12.0029304</v>
      </c>
    </row>
    <row r="151" ht="22.5" customHeight="1">
      <c r="A151" s="5">
        <v>2.2</v>
      </c>
      <c r="B151" s="11">
        <f t="shared" si="15"/>
        <v>273</v>
      </c>
      <c r="C151" s="5">
        <v>273.0</v>
      </c>
      <c r="D151" s="6">
        <v>3.2</v>
      </c>
      <c r="E151" s="7">
        <f t="shared" si="1"/>
        <v>0.8736</v>
      </c>
      <c r="F151" s="8">
        <f t="shared" si="2"/>
        <v>0.8736</v>
      </c>
      <c r="G151" s="8">
        <f t="shared" si="3"/>
        <v>1626.484364</v>
      </c>
      <c r="H151" s="8">
        <f t="shared" si="4"/>
        <v>9.927272806</v>
      </c>
      <c r="I151" s="7">
        <v>1.21</v>
      </c>
      <c r="J151" s="9">
        <f t="shared" si="5"/>
        <v>2957.244298</v>
      </c>
      <c r="K151" s="10">
        <f t="shared" si="6"/>
        <v>13.0031746</v>
      </c>
    </row>
    <row r="152" ht="22.5" customHeight="1">
      <c r="A152" s="5">
        <v>2.2</v>
      </c>
      <c r="B152" s="11">
        <f t="shared" si="15"/>
        <v>294</v>
      </c>
      <c r="C152" s="5">
        <v>295.0</v>
      </c>
      <c r="D152" s="6">
        <v>3.2</v>
      </c>
      <c r="E152" s="7">
        <f t="shared" si="1"/>
        <v>0.944</v>
      </c>
      <c r="F152" s="8">
        <f t="shared" si="2"/>
        <v>0.944</v>
      </c>
      <c r="G152" s="8">
        <f t="shared" si="3"/>
        <v>1757.556364</v>
      </c>
      <c r="H152" s="8">
        <f t="shared" si="4"/>
        <v>10.72727281</v>
      </c>
      <c r="I152" s="7">
        <v>1.21</v>
      </c>
      <c r="J152" s="9">
        <f t="shared" si="5"/>
        <v>3195.557025</v>
      </c>
      <c r="K152" s="10">
        <f t="shared" si="6"/>
        <v>14.05104948</v>
      </c>
    </row>
    <row r="153" ht="22.5" customHeight="1">
      <c r="A153" s="5">
        <v>2.2</v>
      </c>
      <c r="B153" s="11">
        <f t="shared" si="15"/>
        <v>315</v>
      </c>
      <c r="C153" s="5">
        <v>316.0</v>
      </c>
      <c r="D153" s="6">
        <v>3.2</v>
      </c>
      <c r="E153" s="7">
        <f t="shared" si="1"/>
        <v>1.0112</v>
      </c>
      <c r="F153" s="8">
        <f t="shared" si="2"/>
        <v>1.0112</v>
      </c>
      <c r="G153" s="8">
        <f t="shared" si="3"/>
        <v>1882.670545</v>
      </c>
      <c r="H153" s="8">
        <f t="shared" si="4"/>
        <v>11.49090918</v>
      </c>
      <c r="I153" s="7">
        <v>1.21</v>
      </c>
      <c r="J153" s="9">
        <f t="shared" si="5"/>
        <v>3423.037355</v>
      </c>
      <c r="K153" s="10">
        <f t="shared" si="6"/>
        <v>15.05129368</v>
      </c>
    </row>
    <row r="154" ht="22.5" customHeight="1">
      <c r="A154" s="5">
        <v>2.2</v>
      </c>
      <c r="B154" s="11">
        <f t="shared" si="15"/>
        <v>336</v>
      </c>
      <c r="C154" s="5">
        <v>337.0</v>
      </c>
      <c r="D154" s="6">
        <v>3.2</v>
      </c>
      <c r="E154" s="7">
        <f t="shared" si="1"/>
        <v>1.0784</v>
      </c>
      <c r="F154" s="8">
        <f t="shared" si="2"/>
        <v>1.0784</v>
      </c>
      <c r="G154" s="8">
        <f t="shared" si="3"/>
        <v>2007.784727</v>
      </c>
      <c r="H154" s="8">
        <f t="shared" si="4"/>
        <v>12.25454555</v>
      </c>
      <c r="I154" s="7">
        <v>1.21</v>
      </c>
      <c r="J154" s="9">
        <f t="shared" si="5"/>
        <v>3650.517686</v>
      </c>
      <c r="K154" s="10">
        <f t="shared" si="6"/>
        <v>16.05153788</v>
      </c>
    </row>
    <row r="155" ht="22.5" customHeight="1">
      <c r="A155" s="12">
        <v>2.1</v>
      </c>
      <c r="B155" s="12">
        <v>0.0</v>
      </c>
      <c r="C155" s="12">
        <v>1.06</v>
      </c>
      <c r="D155" s="13">
        <v>3.2</v>
      </c>
      <c r="E155" s="14">
        <f t="shared" si="1"/>
        <v>0.003392</v>
      </c>
      <c r="F155" s="14">
        <f t="shared" si="2"/>
        <v>0.003392</v>
      </c>
      <c r="G155" s="15">
        <f t="shared" si="3"/>
        <v>6.616015238</v>
      </c>
      <c r="H155" s="15">
        <f t="shared" si="4"/>
        <v>0.0403809527</v>
      </c>
      <c r="I155" s="14">
        <v>1.21</v>
      </c>
      <c r="J155" s="9">
        <f t="shared" si="5"/>
        <v>11.4823405</v>
      </c>
      <c r="K155" s="10">
        <f t="shared" si="6"/>
        <v>0.05048851677</v>
      </c>
    </row>
    <row r="156" ht="22.5" customHeight="1">
      <c r="A156" s="12">
        <v>2.1</v>
      </c>
      <c r="B156" s="12">
        <v>21.0</v>
      </c>
      <c r="C156" s="12">
        <v>20.7</v>
      </c>
      <c r="D156" s="13">
        <v>3.2</v>
      </c>
      <c r="E156" s="14">
        <f t="shared" si="1"/>
        <v>0.06624</v>
      </c>
      <c r="F156" s="14">
        <f t="shared" si="2"/>
        <v>0.06624</v>
      </c>
      <c r="G156" s="15">
        <f t="shared" si="3"/>
        <v>129.1995429</v>
      </c>
      <c r="H156" s="15">
        <f t="shared" si="4"/>
        <v>0.7885714348</v>
      </c>
      <c r="I156" s="14">
        <v>1.21</v>
      </c>
      <c r="J156" s="9">
        <f t="shared" si="5"/>
        <v>224.2306116</v>
      </c>
      <c r="K156" s="10">
        <f t="shared" si="6"/>
        <v>0.9859549974</v>
      </c>
    </row>
    <row r="157" ht="22.5" customHeight="1">
      <c r="A157" s="12">
        <v>2.1</v>
      </c>
      <c r="B157" s="16">
        <f t="shared" ref="B157:B171" si="16">B156+21</f>
        <v>42</v>
      </c>
      <c r="C157" s="12">
        <v>41.7</v>
      </c>
      <c r="D157" s="13">
        <v>3.2</v>
      </c>
      <c r="E157" s="14">
        <f t="shared" si="1"/>
        <v>0.13344</v>
      </c>
      <c r="F157" s="14">
        <f t="shared" si="2"/>
        <v>0.13344</v>
      </c>
      <c r="G157" s="15">
        <f t="shared" si="3"/>
        <v>260.2715429</v>
      </c>
      <c r="H157" s="15">
        <f t="shared" si="4"/>
        <v>1.588571441</v>
      </c>
      <c r="I157" s="14">
        <v>1.21</v>
      </c>
      <c r="J157" s="9">
        <f t="shared" si="5"/>
        <v>451.7109421</v>
      </c>
      <c r="K157" s="10">
        <f t="shared" si="6"/>
        <v>1.986199198</v>
      </c>
    </row>
    <row r="158" ht="22.5" customHeight="1">
      <c r="A158" s="12">
        <v>2.1</v>
      </c>
      <c r="B158" s="16">
        <f t="shared" si="16"/>
        <v>63</v>
      </c>
      <c r="C158" s="12">
        <v>62.8</v>
      </c>
      <c r="D158" s="13">
        <v>3.2</v>
      </c>
      <c r="E158" s="14">
        <f t="shared" si="1"/>
        <v>0.20096</v>
      </c>
      <c r="F158" s="14">
        <f t="shared" si="2"/>
        <v>0.20096</v>
      </c>
      <c r="G158" s="15">
        <f t="shared" si="3"/>
        <v>391.9676952</v>
      </c>
      <c r="H158" s="15">
        <f t="shared" si="4"/>
        <v>2.392380971</v>
      </c>
      <c r="I158" s="14">
        <v>1.21</v>
      </c>
      <c r="J158" s="9">
        <f t="shared" si="5"/>
        <v>680.2745124</v>
      </c>
      <c r="K158" s="10">
        <f t="shared" si="6"/>
        <v>2.991206465</v>
      </c>
    </row>
    <row r="159" ht="22.5" customHeight="1">
      <c r="A159" s="12">
        <v>2.1</v>
      </c>
      <c r="B159" s="16">
        <f t="shared" si="16"/>
        <v>84</v>
      </c>
      <c r="C159" s="12">
        <v>83.9</v>
      </c>
      <c r="D159" s="13">
        <v>3.2</v>
      </c>
      <c r="E159" s="14">
        <f t="shared" si="1"/>
        <v>0.26848</v>
      </c>
      <c r="F159" s="14">
        <f t="shared" si="2"/>
        <v>0.26848</v>
      </c>
      <c r="G159" s="15">
        <f t="shared" si="3"/>
        <v>523.6638476</v>
      </c>
      <c r="H159" s="15">
        <f t="shared" si="4"/>
        <v>3.196190502</v>
      </c>
      <c r="I159" s="14">
        <v>1.21</v>
      </c>
      <c r="J159" s="9">
        <f t="shared" si="5"/>
        <v>908.8380826</v>
      </c>
      <c r="K159" s="10">
        <f t="shared" si="6"/>
        <v>3.996213733</v>
      </c>
    </row>
    <row r="160" ht="22.5" customHeight="1">
      <c r="A160" s="12">
        <v>2.1</v>
      </c>
      <c r="B160" s="16">
        <f t="shared" si="16"/>
        <v>105</v>
      </c>
      <c r="C160" s="12">
        <v>105.0</v>
      </c>
      <c r="D160" s="13">
        <v>3.2</v>
      </c>
      <c r="E160" s="14">
        <f t="shared" si="1"/>
        <v>0.336</v>
      </c>
      <c r="F160" s="15">
        <f t="shared" si="2"/>
        <v>0.336</v>
      </c>
      <c r="G160" s="15">
        <f t="shared" si="3"/>
        <v>655.36</v>
      </c>
      <c r="H160" s="15">
        <f t="shared" si="4"/>
        <v>4.000000032</v>
      </c>
      <c r="I160" s="14">
        <v>1.21</v>
      </c>
      <c r="J160" s="9">
        <f t="shared" si="5"/>
        <v>1137.401653</v>
      </c>
      <c r="K160" s="10">
        <f t="shared" si="6"/>
        <v>5.001221001</v>
      </c>
    </row>
    <row r="161" ht="22.5" customHeight="1">
      <c r="A161" s="12">
        <v>2.1</v>
      </c>
      <c r="B161" s="16">
        <f t="shared" si="16"/>
        <v>126</v>
      </c>
      <c r="C161" s="12">
        <v>126.0</v>
      </c>
      <c r="D161" s="13">
        <v>3.2</v>
      </c>
      <c r="E161" s="14">
        <f t="shared" si="1"/>
        <v>0.4032</v>
      </c>
      <c r="F161" s="15">
        <f t="shared" si="2"/>
        <v>0.4032</v>
      </c>
      <c r="G161" s="15">
        <f t="shared" si="3"/>
        <v>786.432</v>
      </c>
      <c r="H161" s="15">
        <f t="shared" si="4"/>
        <v>4.800000038</v>
      </c>
      <c r="I161" s="14">
        <v>1.21</v>
      </c>
      <c r="J161" s="9">
        <f t="shared" si="5"/>
        <v>1364.881983</v>
      </c>
      <c r="K161" s="10">
        <f t="shared" si="6"/>
        <v>6.001465201</v>
      </c>
    </row>
    <row r="162" ht="22.5" customHeight="1">
      <c r="A162" s="12">
        <v>2.1</v>
      </c>
      <c r="B162" s="16">
        <f t="shared" si="16"/>
        <v>147</v>
      </c>
      <c r="C162" s="12">
        <v>147.0</v>
      </c>
      <c r="D162" s="13">
        <v>3.2</v>
      </c>
      <c r="E162" s="14">
        <f t="shared" si="1"/>
        <v>0.4704</v>
      </c>
      <c r="F162" s="15">
        <f t="shared" si="2"/>
        <v>0.4704</v>
      </c>
      <c r="G162" s="15">
        <f t="shared" si="3"/>
        <v>917.504</v>
      </c>
      <c r="H162" s="15">
        <f t="shared" si="4"/>
        <v>5.600000044</v>
      </c>
      <c r="I162" s="14">
        <v>1.21</v>
      </c>
      <c r="J162" s="9">
        <f t="shared" si="5"/>
        <v>1592.362314</v>
      </c>
      <c r="K162" s="10">
        <f t="shared" si="6"/>
        <v>7.001709402</v>
      </c>
    </row>
    <row r="163" ht="22.5" customHeight="1">
      <c r="A163" s="12">
        <v>2.1</v>
      </c>
      <c r="B163" s="16">
        <f t="shared" si="16"/>
        <v>168</v>
      </c>
      <c r="C163" s="12">
        <v>168.0</v>
      </c>
      <c r="D163" s="13">
        <v>3.2</v>
      </c>
      <c r="E163" s="14">
        <f t="shared" si="1"/>
        <v>0.5376</v>
      </c>
      <c r="F163" s="15">
        <f t="shared" si="2"/>
        <v>0.5376</v>
      </c>
      <c r="G163" s="15">
        <f t="shared" si="3"/>
        <v>1048.576</v>
      </c>
      <c r="H163" s="15">
        <f t="shared" si="4"/>
        <v>6.400000051</v>
      </c>
      <c r="I163" s="14">
        <v>1.21</v>
      </c>
      <c r="J163" s="9">
        <f t="shared" si="5"/>
        <v>1819.842645</v>
      </c>
      <c r="K163" s="10">
        <f t="shared" si="6"/>
        <v>8.001953602</v>
      </c>
    </row>
    <row r="164" ht="22.5" customHeight="1">
      <c r="A164" s="12">
        <v>2.1</v>
      </c>
      <c r="B164" s="16">
        <f t="shared" si="16"/>
        <v>189</v>
      </c>
      <c r="C164" s="12">
        <v>189.0</v>
      </c>
      <c r="D164" s="13">
        <v>3.2</v>
      </c>
      <c r="E164" s="14">
        <f t="shared" si="1"/>
        <v>0.6048</v>
      </c>
      <c r="F164" s="15">
        <f t="shared" si="2"/>
        <v>0.6048</v>
      </c>
      <c r="G164" s="15">
        <f t="shared" si="3"/>
        <v>1179.648</v>
      </c>
      <c r="H164" s="15">
        <f t="shared" si="4"/>
        <v>7.200000057</v>
      </c>
      <c r="I164" s="14">
        <v>1.21</v>
      </c>
      <c r="J164" s="9">
        <f t="shared" si="5"/>
        <v>2047.322975</v>
      </c>
      <c r="K164" s="10">
        <f t="shared" si="6"/>
        <v>9.002197802</v>
      </c>
    </row>
    <row r="165" ht="22.5" customHeight="1">
      <c r="A165" s="12">
        <v>2.1</v>
      </c>
      <c r="B165" s="16">
        <f t="shared" si="16"/>
        <v>210</v>
      </c>
      <c r="C165" s="12">
        <v>210.0</v>
      </c>
      <c r="D165" s="13">
        <v>3.2</v>
      </c>
      <c r="E165" s="14">
        <f t="shared" si="1"/>
        <v>0.672</v>
      </c>
      <c r="F165" s="15">
        <f t="shared" si="2"/>
        <v>0.672</v>
      </c>
      <c r="G165" s="15">
        <f t="shared" si="3"/>
        <v>1310.72</v>
      </c>
      <c r="H165" s="15">
        <f t="shared" si="4"/>
        <v>8.000000063</v>
      </c>
      <c r="I165" s="14">
        <v>1.21</v>
      </c>
      <c r="J165" s="9">
        <f t="shared" si="5"/>
        <v>2274.803306</v>
      </c>
      <c r="K165" s="10">
        <f t="shared" si="6"/>
        <v>10.002442</v>
      </c>
    </row>
    <row r="166" ht="22.5" customHeight="1">
      <c r="A166" s="12">
        <v>2.1</v>
      </c>
      <c r="B166" s="16">
        <f t="shared" si="16"/>
        <v>231</v>
      </c>
      <c r="C166" s="12">
        <v>231.0</v>
      </c>
      <c r="D166" s="13">
        <v>3.2</v>
      </c>
      <c r="E166" s="14">
        <f t="shared" si="1"/>
        <v>0.7392</v>
      </c>
      <c r="F166" s="15">
        <f t="shared" si="2"/>
        <v>0.7392</v>
      </c>
      <c r="G166" s="15">
        <f t="shared" si="3"/>
        <v>1441.792</v>
      </c>
      <c r="H166" s="15">
        <f t="shared" si="4"/>
        <v>8.80000007</v>
      </c>
      <c r="I166" s="14">
        <v>1.21</v>
      </c>
      <c r="J166" s="9">
        <f t="shared" si="5"/>
        <v>2502.283636</v>
      </c>
      <c r="K166" s="10">
        <f t="shared" si="6"/>
        <v>11.0026862</v>
      </c>
    </row>
    <row r="167" ht="22.5" customHeight="1">
      <c r="A167" s="12">
        <v>2.1</v>
      </c>
      <c r="B167" s="16">
        <f t="shared" si="16"/>
        <v>252</v>
      </c>
      <c r="C167" s="12">
        <v>252.0</v>
      </c>
      <c r="D167" s="13">
        <v>3.2</v>
      </c>
      <c r="E167" s="14">
        <f t="shared" si="1"/>
        <v>0.8064</v>
      </c>
      <c r="F167" s="15">
        <f t="shared" si="2"/>
        <v>0.8064</v>
      </c>
      <c r="G167" s="15">
        <f t="shared" si="3"/>
        <v>1572.864</v>
      </c>
      <c r="H167" s="15">
        <f t="shared" si="4"/>
        <v>9.600000076</v>
      </c>
      <c r="I167" s="14">
        <v>1.21</v>
      </c>
      <c r="J167" s="9">
        <f t="shared" si="5"/>
        <v>2729.763967</v>
      </c>
      <c r="K167" s="10">
        <f t="shared" si="6"/>
        <v>12.0029304</v>
      </c>
    </row>
    <row r="168" ht="22.5" customHeight="1">
      <c r="A168" s="12">
        <v>2.1</v>
      </c>
      <c r="B168" s="16">
        <f t="shared" si="16"/>
        <v>273</v>
      </c>
      <c r="C168" s="12">
        <v>273.0</v>
      </c>
      <c r="D168" s="13">
        <v>3.2</v>
      </c>
      <c r="E168" s="14">
        <f t="shared" si="1"/>
        <v>0.8736</v>
      </c>
      <c r="F168" s="15">
        <f t="shared" si="2"/>
        <v>0.8736</v>
      </c>
      <c r="G168" s="15">
        <f t="shared" si="3"/>
        <v>1703.936</v>
      </c>
      <c r="H168" s="15">
        <f t="shared" si="4"/>
        <v>10.40000008</v>
      </c>
      <c r="I168" s="14">
        <v>1.21</v>
      </c>
      <c r="J168" s="9">
        <f t="shared" si="5"/>
        <v>2957.244298</v>
      </c>
      <c r="K168" s="10">
        <f t="shared" si="6"/>
        <v>13.0031746</v>
      </c>
    </row>
    <row r="169" ht="22.5" customHeight="1">
      <c r="A169" s="12">
        <v>2.1</v>
      </c>
      <c r="B169" s="16">
        <f t="shared" si="16"/>
        <v>294</v>
      </c>
      <c r="C169" s="12">
        <v>295.0</v>
      </c>
      <c r="D169" s="13">
        <v>3.2</v>
      </c>
      <c r="E169" s="14">
        <f t="shared" si="1"/>
        <v>0.944</v>
      </c>
      <c r="F169" s="15">
        <f t="shared" si="2"/>
        <v>0.944</v>
      </c>
      <c r="G169" s="15">
        <f t="shared" si="3"/>
        <v>1841.249524</v>
      </c>
      <c r="H169" s="15">
        <f t="shared" si="4"/>
        <v>11.23809533</v>
      </c>
      <c r="I169" s="14">
        <v>1.21</v>
      </c>
      <c r="J169" s="9">
        <f t="shared" si="5"/>
        <v>3195.557025</v>
      </c>
      <c r="K169" s="10">
        <f t="shared" si="6"/>
        <v>14.05104948</v>
      </c>
    </row>
    <row r="170" ht="22.5" customHeight="1">
      <c r="A170" s="12">
        <v>2.1</v>
      </c>
      <c r="B170" s="16">
        <f t="shared" si="16"/>
        <v>315</v>
      </c>
      <c r="C170" s="12">
        <v>316.0</v>
      </c>
      <c r="D170" s="13">
        <v>3.2</v>
      </c>
      <c r="E170" s="14">
        <f t="shared" si="1"/>
        <v>1.0112</v>
      </c>
      <c r="F170" s="15">
        <f t="shared" si="2"/>
        <v>1.0112</v>
      </c>
      <c r="G170" s="15">
        <f t="shared" si="3"/>
        <v>1972.321524</v>
      </c>
      <c r="H170" s="15">
        <f t="shared" si="4"/>
        <v>12.03809533</v>
      </c>
      <c r="I170" s="14">
        <v>1.21</v>
      </c>
      <c r="J170" s="9">
        <f t="shared" si="5"/>
        <v>3423.037355</v>
      </c>
      <c r="K170" s="10">
        <f t="shared" si="6"/>
        <v>15.05129368</v>
      </c>
    </row>
    <row r="171" ht="22.5" customHeight="1">
      <c r="A171" s="12">
        <v>2.1</v>
      </c>
      <c r="B171" s="16">
        <f t="shared" si="16"/>
        <v>336</v>
      </c>
      <c r="C171" s="12">
        <v>337.0</v>
      </c>
      <c r="D171" s="13">
        <v>3.2</v>
      </c>
      <c r="E171" s="14">
        <f t="shared" si="1"/>
        <v>1.0784</v>
      </c>
      <c r="F171" s="15">
        <f t="shared" si="2"/>
        <v>1.0784</v>
      </c>
      <c r="G171" s="15">
        <f t="shared" si="3"/>
        <v>2103.393524</v>
      </c>
      <c r="H171" s="15">
        <f t="shared" si="4"/>
        <v>12.83809534</v>
      </c>
      <c r="I171" s="14">
        <v>1.21</v>
      </c>
      <c r="J171" s="9">
        <f t="shared" si="5"/>
        <v>3650.517686</v>
      </c>
      <c r="K171" s="10">
        <f t="shared" si="6"/>
        <v>16.05153788</v>
      </c>
    </row>
  </sheetData>
  <dataValidations>
    <dataValidation type="custom" allowBlank="1" showDropDown="1" sqref="E2:E171 G2:H171 J2:J171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